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ae2ffad3cb85c7/Desktop/Data Analysis/Excel/Projects/"/>
    </mc:Choice>
  </mc:AlternateContent>
  <xr:revisionPtr revIDLastSave="21" documentId="13_ncr:1_{70373749-A748-4AD3-A9E7-E2D6F2913B12}" xr6:coauthVersionLast="47" xr6:coauthVersionMax="47" xr10:uidLastSave="{F0522F11-ADA6-46B6-BCB9-ACC11DA205A0}"/>
  <bookViews>
    <workbookView xWindow="-108" yWindow="-108" windowWidth="23256" windowHeight="12456" xr2:uid="{00000000-000D-0000-FFFF-FFFF00000000}"/>
  </bookViews>
  <sheets>
    <sheet name="Risk Register" sheetId="11" r:id="rId1"/>
    <sheet name="Corporate" sheetId="3" r:id="rId2"/>
    <sheet name="Individuals" sheetId="2" r:id="rId3"/>
    <sheet name="Sanctions" sheetId="1" r:id="rId4"/>
    <sheet name="PEP" sheetId="4" r:id="rId5"/>
    <sheet name="Adverse Media" sheetId="6" r:id="rId6"/>
    <sheet name="High Risk Jurisdiction" sheetId="5" r:id="rId7"/>
  </sheets>
  <calcPr calcId="191029"/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J2" i="11"/>
  <c r="L2" i="11" s="1"/>
  <c r="J3" i="11"/>
  <c r="J4" i="11"/>
  <c r="L4" i="11" s="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L165" i="11" s="1"/>
  <c r="J166" i="11"/>
  <c r="J167" i="11"/>
  <c r="J168" i="11"/>
  <c r="L168" i="11" s="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L329" i="11" l="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3" i="11"/>
  <c r="L492" i="11"/>
  <c r="L493" i="11"/>
  <c r="L49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6" i="11"/>
  <c r="L158" i="11"/>
  <c r="L160" i="11"/>
  <c r="L162" i="11"/>
  <c r="L166" i="11"/>
  <c r="L167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415" i="11"/>
  <c r="L417" i="11"/>
  <c r="L419" i="11"/>
  <c r="L422" i="11"/>
  <c r="L424" i="11"/>
  <c r="L425" i="11"/>
  <c r="L426" i="11"/>
  <c r="L428" i="11"/>
  <c r="L430" i="11"/>
  <c r="L432" i="11"/>
  <c r="L434" i="11"/>
  <c r="L436" i="11"/>
  <c r="L438" i="11"/>
  <c r="L440" i="11"/>
  <c r="L442" i="11"/>
  <c r="L444" i="11"/>
  <c r="L446" i="11"/>
  <c r="L448" i="11"/>
  <c r="L450" i="11"/>
  <c r="L452" i="11"/>
  <c r="L454" i="11"/>
  <c r="L456" i="11"/>
  <c r="L458" i="11"/>
  <c r="L460" i="11"/>
  <c r="L462" i="11"/>
  <c r="L464" i="11"/>
  <c r="L466" i="11"/>
  <c r="L468" i="11"/>
  <c r="L470" i="11"/>
  <c r="L472" i="11"/>
  <c r="L474" i="11"/>
  <c r="L476" i="11"/>
  <c r="L478" i="11"/>
  <c r="L480" i="11"/>
  <c r="L482" i="11"/>
  <c r="L484" i="11"/>
  <c r="L486" i="11"/>
  <c r="L488" i="11"/>
  <c r="L490" i="11"/>
  <c r="L141" i="11"/>
  <c r="L155" i="11"/>
  <c r="L157" i="11"/>
  <c r="L159" i="11"/>
  <c r="L161" i="11"/>
  <c r="L163" i="11"/>
  <c r="L164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412" i="11"/>
  <c r="L414" i="11"/>
  <c r="L416" i="11"/>
  <c r="L418" i="11"/>
  <c r="L420" i="11"/>
  <c r="L421" i="11"/>
  <c r="L423" i="11"/>
  <c r="L427" i="11"/>
  <c r="L429" i="11"/>
  <c r="L431" i="11"/>
  <c r="L433" i="11"/>
  <c r="L435" i="11"/>
  <c r="L437" i="11"/>
  <c r="L439" i="11"/>
  <c r="L441" i="11"/>
  <c r="L443" i="11"/>
  <c r="L445" i="11"/>
  <c r="L447" i="11"/>
  <c r="L449" i="11"/>
  <c r="L451" i="11"/>
  <c r="L453" i="11"/>
  <c r="L455" i="11"/>
  <c r="L457" i="11"/>
  <c r="L459" i="11"/>
  <c r="L461" i="11"/>
  <c r="L463" i="11"/>
  <c r="L465" i="11"/>
  <c r="L467" i="11"/>
  <c r="L469" i="11"/>
  <c r="L471" i="11"/>
  <c r="L473" i="11"/>
  <c r="L475" i="11"/>
  <c r="L477" i="11"/>
  <c r="L479" i="11"/>
  <c r="L481" i="11"/>
  <c r="L483" i="11"/>
  <c r="L485" i="11"/>
  <c r="L487" i="11"/>
  <c r="L489" i="11"/>
  <c r="L491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618" i="11"/>
  <c r="L620" i="11"/>
  <c r="L622" i="11"/>
  <c r="L624" i="11"/>
  <c r="L628" i="11"/>
  <c r="L630" i="11"/>
  <c r="L632" i="11"/>
  <c r="L634" i="11"/>
  <c r="L635" i="11"/>
  <c r="L637" i="11"/>
  <c r="L639" i="11"/>
  <c r="L641" i="11"/>
  <c r="L644" i="11"/>
  <c r="L646" i="11"/>
  <c r="L649" i="11"/>
  <c r="L651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9" i="11"/>
  <c r="L621" i="11"/>
  <c r="L623" i="11"/>
  <c r="L625" i="11"/>
  <c r="L626" i="11"/>
  <c r="L627" i="11"/>
  <c r="L629" i="11"/>
  <c r="L631" i="11"/>
  <c r="L633" i="11"/>
  <c r="L636" i="11"/>
  <c r="L638" i="11"/>
  <c r="L640" i="11"/>
  <c r="L642" i="11"/>
  <c r="L643" i="11"/>
  <c r="L645" i="11"/>
  <c r="L647" i="11"/>
  <c r="L648" i="11"/>
  <c r="L650" i="11"/>
  <c r="L3" i="11"/>
</calcChain>
</file>

<file path=xl/sharedStrings.xml><?xml version="1.0" encoding="utf-8"?>
<sst xmlns="http://schemas.openxmlformats.org/spreadsheetml/2006/main" count="17680" uniqueCount="4408">
  <si>
    <t>Sanction_ID</t>
  </si>
  <si>
    <t>Entity Name</t>
  </si>
  <si>
    <t>Entity Type</t>
  </si>
  <si>
    <t>Country</t>
  </si>
  <si>
    <t>Sanctioning Body</t>
  </si>
  <si>
    <t>Sanction Type</t>
  </si>
  <si>
    <t>Date Added</t>
  </si>
  <si>
    <t>Date of Last Review</t>
  </si>
  <si>
    <t>Date of Removal</t>
  </si>
  <si>
    <t>SAN-0001</t>
  </si>
  <si>
    <t>SAN-0002</t>
  </si>
  <si>
    <t>SAN-0003</t>
  </si>
  <si>
    <t>SAN-0004</t>
  </si>
  <si>
    <t>SAN-0005</t>
  </si>
  <si>
    <t>SAN-0006</t>
  </si>
  <si>
    <t>SAN-0007</t>
  </si>
  <si>
    <t>SAN-0008</t>
  </si>
  <si>
    <t>SAN-0009</t>
  </si>
  <si>
    <t>SAN-0010</t>
  </si>
  <si>
    <t>SAN-0011</t>
  </si>
  <si>
    <t>SAN-0012</t>
  </si>
  <si>
    <t>SAN-0013</t>
  </si>
  <si>
    <t>SAN-0014</t>
  </si>
  <si>
    <t>SAN-0015</t>
  </si>
  <si>
    <t>SAN-0016</t>
  </si>
  <si>
    <t>SAN-0017</t>
  </si>
  <si>
    <t>SAN-0018</t>
  </si>
  <si>
    <t>SAN-0019</t>
  </si>
  <si>
    <t>SAN-0020</t>
  </si>
  <si>
    <t>SAN-0021</t>
  </si>
  <si>
    <t>SAN-0022</t>
  </si>
  <si>
    <t>SAN-0023</t>
  </si>
  <si>
    <t>SAN-0024</t>
  </si>
  <si>
    <t>SAN-0025</t>
  </si>
  <si>
    <t>SAN-0026</t>
  </si>
  <si>
    <t>SAN-0027</t>
  </si>
  <si>
    <t>SAN-0028</t>
  </si>
  <si>
    <t>SAN-0029</t>
  </si>
  <si>
    <t>SAN-0030</t>
  </si>
  <si>
    <t>SAN-0031</t>
  </si>
  <si>
    <t>SAN-0032</t>
  </si>
  <si>
    <t>SAN-0033</t>
  </si>
  <si>
    <t>SAN-0034</t>
  </si>
  <si>
    <t>SAN-0035</t>
  </si>
  <si>
    <t>SAN-0036</t>
  </si>
  <si>
    <t>SAN-0037</t>
  </si>
  <si>
    <t>SAN-0038</t>
  </si>
  <si>
    <t>SAN-0039</t>
  </si>
  <si>
    <t>SAN-0040</t>
  </si>
  <si>
    <t>SAN-0041</t>
  </si>
  <si>
    <t>SAN-0042</t>
  </si>
  <si>
    <t>SAN-0043</t>
  </si>
  <si>
    <t>SAN-0044</t>
  </si>
  <si>
    <t>SAN-0045</t>
  </si>
  <si>
    <t>SAN-0046</t>
  </si>
  <si>
    <t>SAN-0047</t>
  </si>
  <si>
    <t>SAN-0048</t>
  </si>
  <si>
    <t>SAN-0049</t>
  </si>
  <si>
    <t>SAN-0050</t>
  </si>
  <si>
    <t>SAN-0051</t>
  </si>
  <si>
    <t>SAN-0052</t>
  </si>
  <si>
    <t>SAN-0053</t>
  </si>
  <si>
    <t>SAN-0054</t>
  </si>
  <si>
    <t>SAN-0055</t>
  </si>
  <si>
    <t>SAN-0056</t>
  </si>
  <si>
    <t>SAN-0057</t>
  </si>
  <si>
    <t>SAN-0058</t>
  </si>
  <si>
    <t>SAN-0059</t>
  </si>
  <si>
    <t>SAN-0060</t>
  </si>
  <si>
    <t>SAN-0061</t>
  </si>
  <si>
    <t>SAN-0062</t>
  </si>
  <si>
    <t>SAN-0063</t>
  </si>
  <si>
    <t>SAN-0064</t>
  </si>
  <si>
    <t>SAN-0065</t>
  </si>
  <si>
    <t>SAN-0066</t>
  </si>
  <si>
    <t>SAN-0067</t>
  </si>
  <si>
    <t>SAN-0068</t>
  </si>
  <si>
    <t>SAN-0069</t>
  </si>
  <si>
    <t>SAN-0070</t>
  </si>
  <si>
    <t>SAN-0071</t>
  </si>
  <si>
    <t>SAN-0072</t>
  </si>
  <si>
    <t>SAN-0073</t>
  </si>
  <si>
    <t>SAN-0074</t>
  </si>
  <si>
    <t>SAN-0075</t>
  </si>
  <si>
    <t>SAN-0076</t>
  </si>
  <si>
    <t>SAN-0077</t>
  </si>
  <si>
    <t>SAN-0078</t>
  </si>
  <si>
    <t>SAN-0079</t>
  </si>
  <si>
    <t>SAN-0080</t>
  </si>
  <si>
    <t>SAN-0081</t>
  </si>
  <si>
    <t>SAN-0082</t>
  </si>
  <si>
    <t>SAN-0083</t>
  </si>
  <si>
    <t>SAN-0084</t>
  </si>
  <si>
    <t>SAN-0085</t>
  </si>
  <si>
    <t>SAN-0086</t>
  </si>
  <si>
    <t>SAN-0087</t>
  </si>
  <si>
    <t>SAN-0088</t>
  </si>
  <si>
    <t>SAN-0089</t>
  </si>
  <si>
    <t>SAN-0090</t>
  </si>
  <si>
    <t>SAN-0091</t>
  </si>
  <si>
    <t>SAN-0092</t>
  </si>
  <si>
    <t>SAN-0093</t>
  </si>
  <si>
    <t>SAN-0094</t>
  </si>
  <si>
    <t>SAN-0095</t>
  </si>
  <si>
    <t>SAN-0096</t>
  </si>
  <si>
    <t>SAN-0097</t>
  </si>
  <si>
    <t>SAN-0098</t>
  </si>
  <si>
    <t>SAN-0099</t>
  </si>
  <si>
    <t>SAN-0100</t>
  </si>
  <si>
    <t>SAN-0101</t>
  </si>
  <si>
    <t>SAN-0102</t>
  </si>
  <si>
    <t>SAN-0103</t>
  </si>
  <si>
    <t>SAN-0104</t>
  </si>
  <si>
    <t>SAN-0105</t>
  </si>
  <si>
    <t>SAN-0106</t>
  </si>
  <si>
    <t>SAN-0107</t>
  </si>
  <si>
    <t>SAN-0108</t>
  </si>
  <si>
    <t>SAN-0109</t>
  </si>
  <si>
    <t>SAN-0110</t>
  </si>
  <si>
    <t>SAN-0111</t>
  </si>
  <si>
    <t>SAN-0112</t>
  </si>
  <si>
    <t>SAN-0113</t>
  </si>
  <si>
    <t>SAN-0114</t>
  </si>
  <si>
    <t>SAN-0115</t>
  </si>
  <si>
    <t>SAN-0116</t>
  </si>
  <si>
    <t>SAN-0117</t>
  </si>
  <si>
    <t>SAN-0118</t>
  </si>
  <si>
    <t>SAN-0119</t>
  </si>
  <si>
    <t>SAN-0120</t>
  </si>
  <si>
    <t>SAN-0121</t>
  </si>
  <si>
    <t>SAN-0122</t>
  </si>
  <si>
    <t>SAN-0123</t>
  </si>
  <si>
    <t>SAN-0124</t>
  </si>
  <si>
    <t>SAN-0125</t>
  </si>
  <si>
    <t>SAN-0126</t>
  </si>
  <si>
    <t>SAN-0127</t>
  </si>
  <si>
    <t>SAN-0128</t>
  </si>
  <si>
    <t>SAN-0129</t>
  </si>
  <si>
    <t>SAN-0130</t>
  </si>
  <si>
    <t>SAN-0131</t>
  </si>
  <si>
    <t>SAN-0132</t>
  </si>
  <si>
    <t>SAN-0133</t>
  </si>
  <si>
    <t>SAN-0134</t>
  </si>
  <si>
    <t>SAN-0135</t>
  </si>
  <si>
    <t>SAN-0136</t>
  </si>
  <si>
    <t>SAN-0137</t>
  </si>
  <si>
    <t>SAN-0138</t>
  </si>
  <si>
    <t>SAN-0139</t>
  </si>
  <si>
    <t>SAN-0140</t>
  </si>
  <si>
    <t>SAN-0141</t>
  </si>
  <si>
    <t>SAN-0142</t>
  </si>
  <si>
    <t>SAN-0143</t>
  </si>
  <si>
    <t>SAN-0144</t>
  </si>
  <si>
    <t>SAN-0145</t>
  </si>
  <si>
    <t>SAN-0146</t>
  </si>
  <si>
    <t>SAN-0147</t>
  </si>
  <si>
    <t>SAN-0148</t>
  </si>
  <si>
    <t>SAN-0149</t>
  </si>
  <si>
    <t>SAN-0150</t>
  </si>
  <si>
    <t>SAN-0151</t>
  </si>
  <si>
    <t>SAN-0152</t>
  </si>
  <si>
    <t>SAN-0153</t>
  </si>
  <si>
    <t>SAN-0154</t>
  </si>
  <si>
    <t>SAN-0155</t>
  </si>
  <si>
    <t>SAN-0156</t>
  </si>
  <si>
    <t>SAN-0157</t>
  </si>
  <si>
    <t>SAN-0158</t>
  </si>
  <si>
    <t>SAN-0159</t>
  </si>
  <si>
    <t>SAN-0160</t>
  </si>
  <si>
    <t>SAN-0161</t>
  </si>
  <si>
    <t>SAN-0162</t>
  </si>
  <si>
    <t>SAN-0163</t>
  </si>
  <si>
    <t>SAN-0164</t>
  </si>
  <si>
    <t>SAN-0165</t>
  </si>
  <si>
    <t>SAN-0166</t>
  </si>
  <si>
    <t>SAN-0167</t>
  </si>
  <si>
    <t>SAN-0168</t>
  </si>
  <si>
    <t>SAN-0169</t>
  </si>
  <si>
    <t>SAN-0170</t>
  </si>
  <si>
    <t>SAN-0171</t>
  </si>
  <si>
    <t>SAN-0172</t>
  </si>
  <si>
    <t>SAN-0173</t>
  </si>
  <si>
    <t>SAN-0174</t>
  </si>
  <si>
    <t>SAN-0175</t>
  </si>
  <si>
    <t>SAN-0176</t>
  </si>
  <si>
    <t>SAN-0177</t>
  </si>
  <si>
    <t>James Anderson</t>
  </si>
  <si>
    <t>Victoria Robinson</t>
  </si>
  <si>
    <t>Individual</t>
  </si>
  <si>
    <t>Corporate</t>
  </si>
  <si>
    <t>Belgium</t>
  </si>
  <si>
    <t>Philippines</t>
  </si>
  <si>
    <t>Morocco</t>
  </si>
  <si>
    <t>Mexico</t>
  </si>
  <si>
    <t>Egypt</t>
  </si>
  <si>
    <t>United Kingdom</t>
  </si>
  <si>
    <t>Vietnam</t>
  </si>
  <si>
    <t>Cameroon</t>
  </si>
  <si>
    <t>Poland</t>
  </si>
  <si>
    <t>China</t>
  </si>
  <si>
    <t>Colombia</t>
  </si>
  <si>
    <t>Netherlands</t>
  </si>
  <si>
    <t>Zimbabwe</t>
  </si>
  <si>
    <t>Papua New Guinea</t>
  </si>
  <si>
    <t>Russia</t>
  </si>
  <si>
    <t>Algeria</t>
  </si>
  <si>
    <t>Uganda</t>
  </si>
  <si>
    <t>Malaysia</t>
  </si>
  <si>
    <t>Nigeria</t>
  </si>
  <si>
    <t>Kenya</t>
  </si>
  <si>
    <t>Japan</t>
  </si>
  <si>
    <t>Tanzania</t>
  </si>
  <si>
    <t>Spain</t>
  </si>
  <si>
    <t>Iran</t>
  </si>
  <si>
    <t>South Korea</t>
  </si>
  <si>
    <t>Venezuela</t>
  </si>
  <si>
    <t>Portugal</t>
  </si>
  <si>
    <t>Nepal</t>
  </si>
  <si>
    <t>Argentina</t>
  </si>
  <si>
    <t>Thailand</t>
  </si>
  <si>
    <t>Australia</t>
  </si>
  <si>
    <t>Indonesia</t>
  </si>
  <si>
    <t>Sweden</t>
  </si>
  <si>
    <t>Switzerland</t>
  </si>
  <si>
    <t>Pakistan</t>
  </si>
  <si>
    <t>New Zealand</t>
  </si>
  <si>
    <t>Fiji</t>
  </si>
  <si>
    <t>India</t>
  </si>
  <si>
    <t>Zambia</t>
  </si>
  <si>
    <t>United States</t>
  </si>
  <si>
    <t>Singapore</t>
  </si>
  <si>
    <t>Senegal</t>
  </si>
  <si>
    <t>Brazil</t>
  </si>
  <si>
    <t>Italy</t>
  </si>
  <si>
    <t>Sri Lanka</t>
  </si>
  <si>
    <t>Peru</t>
  </si>
  <si>
    <t>Bangladesh</t>
  </si>
  <si>
    <t>South Africa</t>
  </si>
  <si>
    <t>Norway</t>
  </si>
  <si>
    <t>Germany</t>
  </si>
  <si>
    <t>France</t>
  </si>
  <si>
    <t>Ghana</t>
  </si>
  <si>
    <t>Canada</t>
  </si>
  <si>
    <t>Sudan</t>
  </si>
  <si>
    <t>Cuba</t>
  </si>
  <si>
    <t>Ethiopia</t>
  </si>
  <si>
    <t>Samoa</t>
  </si>
  <si>
    <t>Chile</t>
  </si>
  <si>
    <t>Denmark</t>
  </si>
  <si>
    <t>Austria</t>
  </si>
  <si>
    <t>EU</t>
  </si>
  <si>
    <t>OFAC</t>
  </si>
  <si>
    <t>UK Treasury</t>
  </si>
  <si>
    <t>UN</t>
  </si>
  <si>
    <t>Asset Freeze</t>
  </si>
  <si>
    <t>Financial Restriction</t>
  </si>
  <si>
    <t>Arms Embargo</t>
  </si>
  <si>
    <t>Travel Ban</t>
  </si>
  <si>
    <t>04/04/17</t>
  </si>
  <si>
    <t>05/11/22</t>
  </si>
  <si>
    <t>18/09/24</t>
  </si>
  <si>
    <t>11/12/23</t>
  </si>
  <si>
    <t>19/01/22</t>
  </si>
  <si>
    <t>11/03/20</t>
  </si>
  <si>
    <t>05/12/16</t>
  </si>
  <si>
    <t>03/08/23</t>
  </si>
  <si>
    <t>15/09/16</t>
  </si>
  <si>
    <t>20/11/20</t>
  </si>
  <si>
    <t>08/06/24</t>
  </si>
  <si>
    <t>19/10/25</t>
  </si>
  <si>
    <t>15/08/24</t>
  </si>
  <si>
    <t>21/07/18</t>
  </si>
  <si>
    <t>10/08/24</t>
  </si>
  <si>
    <t>02/03/25</t>
  </si>
  <si>
    <t>02/10/21</t>
  </si>
  <si>
    <t>03/07/20</t>
  </si>
  <si>
    <t>08/10/19</t>
  </si>
  <si>
    <t>22/01/25</t>
  </si>
  <si>
    <t>28/12/18</t>
  </si>
  <si>
    <t>12/03/23</t>
  </si>
  <si>
    <t>22/04/17</t>
  </si>
  <si>
    <t>12/05/22</t>
  </si>
  <si>
    <t>06/10/24</t>
  </si>
  <si>
    <t>23/06/18</t>
  </si>
  <si>
    <t>15/09/24</t>
  </si>
  <si>
    <t>08/07/26</t>
  </si>
  <si>
    <t>10/08/16</t>
  </si>
  <si>
    <t>14/09/23</t>
  </si>
  <si>
    <t>25/10/20</t>
  </si>
  <si>
    <t>26/01/21</t>
  </si>
  <si>
    <t>02/04/19</t>
  </si>
  <si>
    <t>01/10/19</t>
  </si>
  <si>
    <t>05/01/25</t>
  </si>
  <si>
    <t>20/10/18</t>
  </si>
  <si>
    <t>02/03/20</t>
  </si>
  <si>
    <t>11/07/19</t>
  </si>
  <si>
    <t>02/11/23</t>
  </si>
  <si>
    <t>14/02/18</t>
  </si>
  <si>
    <t>22/10/21</t>
  </si>
  <si>
    <t>09/02/19</t>
  </si>
  <si>
    <t>11/11/18</t>
  </si>
  <si>
    <t>24/10/20</t>
  </si>
  <si>
    <t>04/11/24</t>
  </si>
  <si>
    <t>07/03/17</t>
  </si>
  <si>
    <t>27/11/22</t>
  </si>
  <si>
    <t>15/08/17</t>
  </si>
  <si>
    <t>28/04/18</t>
  </si>
  <si>
    <t>29/11/22</t>
  </si>
  <si>
    <t>27/04/21</t>
  </si>
  <si>
    <t>31/03/25</t>
  </si>
  <si>
    <t>09/08/17</t>
  </si>
  <si>
    <t>27/08/18</t>
  </si>
  <si>
    <t>24/09/24</t>
  </si>
  <si>
    <t>26/12/24</t>
  </si>
  <si>
    <t>02/01/24</t>
  </si>
  <si>
    <t>14/03/20</t>
  </si>
  <si>
    <t>05/01/20</t>
  </si>
  <si>
    <t>01/10/25</t>
  </si>
  <si>
    <t>18/04/21</t>
  </si>
  <si>
    <t>09/07/25</t>
  </si>
  <si>
    <t>04/04/24</t>
  </si>
  <si>
    <t>29/07/22</t>
  </si>
  <si>
    <t>28/11/25</t>
  </si>
  <si>
    <t>25/03/19</t>
  </si>
  <si>
    <t>17/05/22</t>
  </si>
  <si>
    <t>03/06/21</t>
  </si>
  <si>
    <t>11/05/20</t>
  </si>
  <si>
    <t>17/04/19</t>
  </si>
  <si>
    <t>26/11/17</t>
  </si>
  <si>
    <t>15/09/21</t>
  </si>
  <si>
    <t>14/12/25</t>
  </si>
  <si>
    <t>27/07/17</t>
  </si>
  <si>
    <t>23/12/24</t>
  </si>
  <si>
    <t>17/12/21</t>
  </si>
  <si>
    <t>18/10/19</t>
  </si>
  <si>
    <t>24/04/21</t>
  </si>
  <si>
    <t>24/10/25</t>
  </si>
  <si>
    <t>12/06/23</t>
  </si>
  <si>
    <t>26/10/21</t>
  </si>
  <si>
    <t>06/02/17</t>
  </si>
  <si>
    <t>23/10/19</t>
  </si>
  <si>
    <t>19/11/21</t>
  </si>
  <si>
    <t>15/03/22</t>
  </si>
  <si>
    <t>08/07/21</t>
  </si>
  <si>
    <t>28/02/21</t>
  </si>
  <si>
    <t>07/11/21</t>
  </si>
  <si>
    <t>30/11/17</t>
  </si>
  <si>
    <t>20/05/25</t>
  </si>
  <si>
    <t>22/09/20</t>
  </si>
  <si>
    <t>20/09/20</t>
  </si>
  <si>
    <t>31/12/20</t>
  </si>
  <si>
    <t>24/04/17</t>
  </si>
  <si>
    <t>10/04/20</t>
  </si>
  <si>
    <t>28/04/22</t>
  </si>
  <si>
    <t>05/03/18</t>
  </si>
  <si>
    <t>26/10/18</t>
  </si>
  <si>
    <t>03/05/25</t>
  </si>
  <si>
    <t>23/04/20</t>
  </si>
  <si>
    <t>22/03/24</t>
  </si>
  <si>
    <t>22/06/22</t>
  </si>
  <si>
    <t>03/01/18</t>
  </si>
  <si>
    <t>19/02/22</t>
  </si>
  <si>
    <t>08/11/25</t>
  </si>
  <si>
    <t>02/12/16</t>
  </si>
  <si>
    <t>08/01/26</t>
  </si>
  <si>
    <t>15/07/18</t>
  </si>
  <si>
    <t>08/10/24</t>
  </si>
  <si>
    <t>18/12/17</t>
  </si>
  <si>
    <t>03/09/17</t>
  </si>
  <si>
    <t>09/02/20</t>
  </si>
  <si>
    <t>17/04/21</t>
  </si>
  <si>
    <t>29/04/25</t>
  </si>
  <si>
    <t>10/03/22</t>
  </si>
  <si>
    <t>19/01/25</t>
  </si>
  <si>
    <t>04/01/19</t>
  </si>
  <si>
    <t>20/01/24</t>
  </si>
  <si>
    <t>22/09/23</t>
  </si>
  <si>
    <t>03/04/20</t>
  </si>
  <si>
    <t>19/12/24</t>
  </si>
  <si>
    <t>09/08/24</t>
  </si>
  <si>
    <t>15/02/22</t>
  </si>
  <si>
    <t>04/10/22</t>
  </si>
  <si>
    <t>05/12/18</t>
  </si>
  <si>
    <t>29/08/18</t>
  </si>
  <si>
    <t>21/06/20</t>
  </si>
  <si>
    <t>01/04/20</t>
  </si>
  <si>
    <t>04/05/22</t>
  </si>
  <si>
    <t>07/10/17</t>
  </si>
  <si>
    <t>01/12/22</t>
  </si>
  <si>
    <t>16/07/25</t>
  </si>
  <si>
    <t>22/02/17</t>
  </si>
  <si>
    <t>28/01/20</t>
  </si>
  <si>
    <t>07/02/23</t>
  </si>
  <si>
    <t>29/09/24</t>
  </si>
  <si>
    <t>14/05/20</t>
  </si>
  <si>
    <t>18/02/17</t>
  </si>
  <si>
    <t>27/10/16</t>
  </si>
  <si>
    <t>11/10/22</t>
  </si>
  <si>
    <t>08/04/18</t>
  </si>
  <si>
    <t>22/04/24</t>
  </si>
  <si>
    <t>18/07/24</t>
  </si>
  <si>
    <t>17/09/19</t>
  </si>
  <si>
    <t>18/04/20</t>
  </si>
  <si>
    <t>19/03/20</t>
  </si>
  <si>
    <t>23/01/23</t>
  </si>
  <si>
    <t>25/03/25</t>
  </si>
  <si>
    <t>19/05/23</t>
  </si>
  <si>
    <t>11/09/20</t>
  </si>
  <si>
    <t>22/01/24</t>
  </si>
  <si>
    <t>27/11/25</t>
  </si>
  <si>
    <t>02/02/20</t>
  </si>
  <si>
    <t>14/01/21</t>
  </si>
  <si>
    <t>25/03/18</t>
  </si>
  <si>
    <t>03/10/22</t>
  </si>
  <si>
    <t>07/10/24</t>
  </si>
  <si>
    <t>24/03/17</t>
  </si>
  <si>
    <t>04/09/19</t>
  </si>
  <si>
    <t>14/10/17</t>
  </si>
  <si>
    <t>30/11/18</t>
  </si>
  <si>
    <t>20/06/23</t>
  </si>
  <si>
    <t>24/07/19</t>
  </si>
  <si>
    <t>04/11/21</t>
  </si>
  <si>
    <t>19/04/23</t>
  </si>
  <si>
    <t>20/12/21</t>
  </si>
  <si>
    <t>18/10/22</t>
  </si>
  <si>
    <t>30/04/24</t>
  </si>
  <si>
    <t>07/09/23</t>
  </si>
  <si>
    <t>07/01/22</t>
  </si>
  <si>
    <t>07/12/21</t>
  </si>
  <si>
    <t>27/12/25</t>
  </si>
  <si>
    <t>10/09/17</t>
  </si>
  <si>
    <t>13/06/23</t>
  </si>
  <si>
    <t>14/05/25</t>
  </si>
  <si>
    <t>24/04/19</t>
  </si>
  <si>
    <t>06/06/26</t>
  </si>
  <si>
    <t>11/01/25</t>
  </si>
  <si>
    <t>16/04/18</t>
  </si>
  <si>
    <t>16/05/22</t>
  </si>
  <si>
    <t>25/11/20</t>
  </si>
  <si>
    <t>29/01/19</t>
  </si>
  <si>
    <t>14/07/19</t>
  </si>
  <si>
    <t>07/08/25</t>
  </si>
  <si>
    <t>27/06/26</t>
  </si>
  <si>
    <t>22/12/19</t>
  </si>
  <si>
    <t>11/12/16</t>
  </si>
  <si>
    <t>16/05/24</t>
  </si>
  <si>
    <t>29/10/18</t>
  </si>
  <si>
    <t>31/05/21</t>
  </si>
  <si>
    <t>16/05/26</t>
  </si>
  <si>
    <t>22/11/18</t>
  </si>
  <si>
    <t>23/06/23</t>
  </si>
  <si>
    <t>24/12/19</t>
  </si>
  <si>
    <t>11/04/25</t>
  </si>
  <si>
    <t>12/11/20</t>
  </si>
  <si>
    <t>31/08/18</t>
  </si>
  <si>
    <t>04/05/20</t>
  </si>
  <si>
    <t>20/02/20</t>
  </si>
  <si>
    <t>29/08/24</t>
  </si>
  <si>
    <t>21/10/18</t>
  </si>
  <si>
    <t>14/10/18</t>
  </si>
  <si>
    <t>04/05/18</t>
  </si>
  <si>
    <t>02/07/24</t>
  </si>
  <si>
    <t>05/02/19</t>
  </si>
  <si>
    <t>19/04/25</t>
  </si>
  <si>
    <t>24/06/19</t>
  </si>
  <si>
    <t>13/08/23</t>
  </si>
  <si>
    <t>31/01/21</t>
  </si>
  <si>
    <t>18/01/25</t>
  </si>
  <si>
    <t>28/05/20</t>
  </si>
  <si>
    <t>20/03/17</t>
  </si>
  <si>
    <t>22/04/23</t>
  </si>
  <si>
    <t>20/03/25</t>
  </si>
  <si>
    <t>26/08/16</t>
  </si>
  <si>
    <t>29/07/21</t>
  </si>
  <si>
    <t>15/11/21</t>
  </si>
  <si>
    <t>05/11/16</t>
  </si>
  <si>
    <t>18/02/21</t>
  </si>
  <si>
    <t>03/01/26</t>
  </si>
  <si>
    <t>04/01/23</t>
  </si>
  <si>
    <t>20/06/19</t>
  </si>
  <si>
    <t>15/09/19</t>
  </si>
  <si>
    <t>24/05/17</t>
  </si>
  <si>
    <t>06/04/19</t>
  </si>
  <si>
    <t>26/01/18</t>
  </si>
  <si>
    <t>19/11/17</t>
  </si>
  <si>
    <t>18/09/19</t>
  </si>
  <si>
    <t>12/03/17</t>
  </si>
  <si>
    <t>25/10/24</t>
  </si>
  <si>
    <t>14/08/18</t>
  </si>
  <si>
    <t>20/01/18</t>
  </si>
  <si>
    <t>04/09/24</t>
  </si>
  <si>
    <t>14/03/25</t>
  </si>
  <si>
    <t>28/06/24</t>
  </si>
  <si>
    <t>12/11/18</t>
  </si>
  <si>
    <t>25/04/25</t>
  </si>
  <si>
    <t>13/11/25</t>
  </si>
  <si>
    <t>01/02/18</t>
  </si>
  <si>
    <t>21/05/17</t>
  </si>
  <si>
    <t>18/11/23</t>
  </si>
  <si>
    <t>10/02/22</t>
  </si>
  <si>
    <t>08/07/18</t>
  </si>
  <si>
    <t>26/07/17</t>
  </si>
  <si>
    <t>10/06/24</t>
  </si>
  <si>
    <t>31/05/23</t>
  </si>
  <si>
    <t>22/12/18</t>
  </si>
  <si>
    <t>12/12/21</t>
  </si>
  <si>
    <t>26/12/17</t>
  </si>
  <si>
    <t>04/04/18</t>
  </si>
  <si>
    <t>08/01/22</t>
  </si>
  <si>
    <t>14/07/20</t>
  </si>
  <si>
    <t>28/03/19</t>
  </si>
  <si>
    <t>30/05/25</t>
  </si>
  <si>
    <t>24/11/22</t>
  </si>
  <si>
    <t>15/04/24</t>
  </si>
  <si>
    <t>26/06/21</t>
  </si>
  <si>
    <t>13/10/25</t>
  </si>
  <si>
    <t>23/11/25</t>
  </si>
  <si>
    <t>06/06/23</t>
  </si>
  <si>
    <t>12/06/22</t>
  </si>
  <si>
    <t>21/06/19</t>
  </si>
  <si>
    <t>14/09/22</t>
  </si>
  <si>
    <t>20/06/25</t>
  </si>
  <si>
    <t>11/10/16</t>
  </si>
  <si>
    <t>03/03/20</t>
  </si>
  <si>
    <t>09/05/23</t>
  </si>
  <si>
    <t>16/06/24</t>
  </si>
  <si>
    <t>25/07/19</t>
  </si>
  <si>
    <t>07/01/19</t>
  </si>
  <si>
    <t>05/09/22</t>
  </si>
  <si>
    <t>03/01/22</t>
  </si>
  <si>
    <t>24/02/18</t>
  </si>
  <si>
    <t>27/11/23</t>
  </si>
  <si>
    <t>09/01/24</t>
  </si>
  <si>
    <t>07/08/17</t>
  </si>
  <si>
    <t>28/06/18</t>
  </si>
  <si>
    <t>01/05/17</t>
  </si>
  <si>
    <t>07/03/26</t>
  </si>
  <si>
    <t>09/07/23</t>
  </si>
  <si>
    <t>22/08/20</t>
  </si>
  <si>
    <t>10/04/24</t>
  </si>
  <si>
    <t>03/09/22</t>
  </si>
  <si>
    <t>15/06/25</t>
  </si>
  <si>
    <t>18/01/24</t>
  </si>
  <si>
    <t>07/04/20</t>
  </si>
  <si>
    <t>22/08/25</t>
  </si>
  <si>
    <t>05/09/19</t>
  </si>
  <si>
    <t>17/09/22</t>
  </si>
  <si>
    <t>16/11/25</t>
  </si>
  <si>
    <t>22/02/25</t>
  </si>
  <si>
    <t>29/12/24</t>
  </si>
  <si>
    <t>07/12/18</t>
  </si>
  <si>
    <t>20/03/18</t>
  </si>
  <si>
    <t>07/09/19</t>
  </si>
  <si>
    <t>07/09/25</t>
  </si>
  <si>
    <t>29/09/25</t>
  </si>
  <si>
    <t>14/02/21</t>
  </si>
  <si>
    <t>03/01/21</t>
  </si>
  <si>
    <t>07/07/23</t>
  </si>
  <si>
    <t>30/06/20</t>
  </si>
  <si>
    <t>19/11/24</t>
  </si>
  <si>
    <t>23/01/25</t>
  </si>
  <si>
    <t>02/01/26</t>
  </si>
  <si>
    <t>17/06/23</t>
  </si>
  <si>
    <t>24/02/25</t>
  </si>
  <si>
    <t>17/12/18</t>
  </si>
  <si>
    <t>03/01/25</t>
  </si>
  <si>
    <t>01/04/21</t>
  </si>
  <si>
    <t>02/02/22</t>
  </si>
  <si>
    <t>22/06/20</t>
  </si>
  <si>
    <t>12/03/24</t>
  </si>
  <si>
    <t>03/07/17</t>
  </si>
  <si>
    <t>05/04/19</t>
  </si>
  <si>
    <t>18/12/22</t>
  </si>
  <si>
    <t>03/10/17</t>
  </si>
  <si>
    <t>24/01/17</t>
  </si>
  <si>
    <t>12/12/23</t>
  </si>
  <si>
    <t>17/06/19</t>
  </si>
  <si>
    <t>22/02/18</t>
  </si>
  <si>
    <t>30/03/26</t>
  </si>
  <si>
    <t>20/05/26</t>
  </si>
  <si>
    <t>26/10/22</t>
  </si>
  <si>
    <t>25/08/20</t>
  </si>
  <si>
    <t>04/01/22</t>
  </si>
  <si>
    <t>28/08/25</t>
  </si>
  <si>
    <t>11/08/17</t>
  </si>
  <si>
    <t>20/09/21</t>
  </si>
  <si>
    <t>27/10/23</t>
  </si>
  <si>
    <t>19/01/26</t>
  </si>
  <si>
    <t>23/09/25</t>
  </si>
  <si>
    <t>31/12/22</t>
  </si>
  <si>
    <t>24/04/22</t>
  </si>
  <si>
    <t>02/09/23</t>
  </si>
  <si>
    <t>08/12/24</t>
  </si>
  <si>
    <t>05/09/18</t>
  </si>
  <si>
    <t>10/04/26</t>
  </si>
  <si>
    <t>17/09/20</t>
  </si>
  <si>
    <t>16/12/17</t>
  </si>
  <si>
    <t>31/03/19</t>
  </si>
  <si>
    <t>26/03/19</t>
  </si>
  <si>
    <t>15/10/23</t>
  </si>
  <si>
    <t>08/04/23</t>
  </si>
  <si>
    <t>30/07/24</t>
  </si>
  <si>
    <t>10/10/23</t>
  </si>
  <si>
    <t>14/02/25</t>
  </si>
  <si>
    <t>04/04/21</t>
  </si>
  <si>
    <t>26/11/19</t>
  </si>
  <si>
    <t>04/03/19</t>
  </si>
  <si>
    <t>07/12/17</t>
  </si>
  <si>
    <t>06/03/21</t>
  </si>
  <si>
    <t>07/12/23</t>
  </si>
  <si>
    <t>25/06/24</t>
  </si>
  <si>
    <t>Still Listed</t>
  </si>
  <si>
    <t>12/02/18</t>
  </si>
  <si>
    <t>05/10/18</t>
  </si>
  <si>
    <t>19/10/22</t>
  </si>
  <si>
    <t>23/11/20</t>
  </si>
  <si>
    <t>17/08/25</t>
  </si>
  <si>
    <t>17/01/25</t>
  </si>
  <si>
    <t>06/01/17</t>
  </si>
  <si>
    <t>22/11/20</t>
  </si>
  <si>
    <t>23/09/17</t>
  </si>
  <si>
    <t>02/05/20</t>
  </si>
  <si>
    <t>25/02/18</t>
  </si>
  <si>
    <t>04/04/25</t>
  </si>
  <si>
    <t>08/02/26</t>
  </si>
  <si>
    <t>02/12/17</t>
  </si>
  <si>
    <t>25/09/25</t>
  </si>
  <si>
    <t>16/10/20</t>
  </si>
  <si>
    <t>05/12/20</t>
  </si>
  <si>
    <t>19/12/17</t>
  </si>
  <si>
    <t>17/03/17</t>
  </si>
  <si>
    <t>21/03/25</t>
  </si>
  <si>
    <t>07/11/22</t>
  </si>
  <si>
    <t>15/01/18</t>
  </si>
  <si>
    <t>25/08/23</t>
  </si>
  <si>
    <t>23/06/17</t>
  </si>
  <si>
    <t>06/12/20</t>
  </si>
  <si>
    <t>22/06/19</t>
  </si>
  <si>
    <t>13/01/17</t>
  </si>
  <si>
    <t>07/06/20</t>
  </si>
  <si>
    <t>05/08/20</t>
  </si>
  <si>
    <t>22/05/20</t>
  </si>
  <si>
    <t>02/07/19</t>
  </si>
  <si>
    <t>28/10/17</t>
  </si>
  <si>
    <t>27/01/17</t>
  </si>
  <si>
    <t>15/03/23</t>
  </si>
  <si>
    <t>16/09/19</t>
  </si>
  <si>
    <t>29/12/21</t>
  </si>
  <si>
    <t>04/01/21</t>
  </si>
  <si>
    <t>08/04/26</t>
  </si>
  <si>
    <t>13/03/18</t>
  </si>
  <si>
    <t>16/01/26</t>
  </si>
  <si>
    <t>06/10/25</t>
  </si>
  <si>
    <t>03/03/25</t>
  </si>
  <si>
    <t>18/11/22</t>
  </si>
  <si>
    <t>11/05/24</t>
  </si>
  <si>
    <t>29/06/17</t>
  </si>
  <si>
    <t>01/09/22</t>
  </si>
  <si>
    <t>06/10/20</t>
  </si>
  <si>
    <t>30/10/21</t>
  </si>
  <si>
    <t>20/09/22</t>
  </si>
  <si>
    <t>28/12/23</t>
  </si>
  <si>
    <t>16/02/26</t>
  </si>
  <si>
    <t>02/02/26</t>
  </si>
  <si>
    <t>27/09/20</t>
  </si>
  <si>
    <t>13/02/20</t>
  </si>
  <si>
    <t>14/03/21</t>
  </si>
  <si>
    <t>24/02/21</t>
  </si>
  <si>
    <t>24/03/26</t>
  </si>
  <si>
    <t>13/05/19</t>
  </si>
  <si>
    <t>02/12/23</t>
  </si>
  <si>
    <t>14/05/24</t>
  </si>
  <si>
    <t>09/07/19</t>
  </si>
  <si>
    <t>29/05/19</t>
  </si>
  <si>
    <t>08/09/16</t>
  </si>
  <si>
    <t>21/03/22</t>
  </si>
  <si>
    <t>25/02/23</t>
  </si>
  <si>
    <t>14/08/20</t>
  </si>
  <si>
    <t>15/09/20</t>
  </si>
  <si>
    <t>12/03/21</t>
  </si>
  <si>
    <t>Individual_ID</t>
  </si>
  <si>
    <t>Individual Name</t>
  </si>
  <si>
    <t>Last Means of ID</t>
  </si>
  <si>
    <t>ID Number</t>
  </si>
  <si>
    <t>Date of Expiry</t>
  </si>
  <si>
    <t>Adverse Media</t>
  </si>
  <si>
    <t>PEP</t>
  </si>
  <si>
    <t>Sanctions</t>
  </si>
  <si>
    <t>IND-0001</t>
  </si>
  <si>
    <t>IND-0002</t>
  </si>
  <si>
    <t>IND-0003</t>
  </si>
  <si>
    <t>IND-0004</t>
  </si>
  <si>
    <t>IND-0005</t>
  </si>
  <si>
    <t>IND-0006</t>
  </si>
  <si>
    <t>IND-0007</t>
  </si>
  <si>
    <t>IND-0008</t>
  </si>
  <si>
    <t>IND-0009</t>
  </si>
  <si>
    <t>IND-0010</t>
  </si>
  <si>
    <t>IND-0011</t>
  </si>
  <si>
    <t>IND-0012</t>
  </si>
  <si>
    <t>IND-0013</t>
  </si>
  <si>
    <t>IND-0014</t>
  </si>
  <si>
    <t>IND-0015</t>
  </si>
  <si>
    <t>IND-0016</t>
  </si>
  <si>
    <t>IND-0017</t>
  </si>
  <si>
    <t>IND-0018</t>
  </si>
  <si>
    <t>IND-0019</t>
  </si>
  <si>
    <t>IND-0020</t>
  </si>
  <si>
    <t>IND-0021</t>
  </si>
  <si>
    <t>IND-0022</t>
  </si>
  <si>
    <t>IND-0023</t>
  </si>
  <si>
    <t>IND-0024</t>
  </si>
  <si>
    <t>IND-0025</t>
  </si>
  <si>
    <t>IND-0026</t>
  </si>
  <si>
    <t>IND-0027</t>
  </si>
  <si>
    <t>IND-0028</t>
  </si>
  <si>
    <t>IND-0029</t>
  </si>
  <si>
    <t>IND-0030</t>
  </si>
  <si>
    <t>IND-0031</t>
  </si>
  <si>
    <t>IND-0032</t>
  </si>
  <si>
    <t>IND-0033</t>
  </si>
  <si>
    <t>IND-0034</t>
  </si>
  <si>
    <t>IND-0035</t>
  </si>
  <si>
    <t>IND-0036</t>
  </si>
  <si>
    <t>IND-0037</t>
  </si>
  <si>
    <t>IND-0038</t>
  </si>
  <si>
    <t>IND-0039</t>
  </si>
  <si>
    <t>IND-0040</t>
  </si>
  <si>
    <t>IND-0041</t>
  </si>
  <si>
    <t>IND-0042</t>
  </si>
  <si>
    <t>IND-0043</t>
  </si>
  <si>
    <t>IND-0044</t>
  </si>
  <si>
    <t>IND-0045</t>
  </si>
  <si>
    <t>IND-0046</t>
  </si>
  <si>
    <t>IND-0047</t>
  </si>
  <si>
    <t>IND-0048</t>
  </si>
  <si>
    <t>IND-0049</t>
  </si>
  <si>
    <t>IND-0050</t>
  </si>
  <si>
    <t>IND-0051</t>
  </si>
  <si>
    <t>IND-0052</t>
  </si>
  <si>
    <t>IND-0053</t>
  </si>
  <si>
    <t>IND-0054</t>
  </si>
  <si>
    <t>IND-0055</t>
  </si>
  <si>
    <t>IND-0056</t>
  </si>
  <si>
    <t>IND-0057</t>
  </si>
  <si>
    <t>IND-0058</t>
  </si>
  <si>
    <t>IND-0059</t>
  </si>
  <si>
    <t>IND-0060</t>
  </si>
  <si>
    <t>IND-0061</t>
  </si>
  <si>
    <t>IND-0062</t>
  </si>
  <si>
    <t>IND-0063</t>
  </si>
  <si>
    <t>IND-0064</t>
  </si>
  <si>
    <t>IND-0065</t>
  </si>
  <si>
    <t>IND-0066</t>
  </si>
  <si>
    <t>IND-0067</t>
  </si>
  <si>
    <t>IND-0068</t>
  </si>
  <si>
    <t>IND-0069</t>
  </si>
  <si>
    <t>IND-0070</t>
  </si>
  <si>
    <t>IND-0071</t>
  </si>
  <si>
    <t>IND-0072</t>
  </si>
  <si>
    <t>IND-0073</t>
  </si>
  <si>
    <t>IND-0074</t>
  </si>
  <si>
    <t>IND-0075</t>
  </si>
  <si>
    <t>IND-0076</t>
  </si>
  <si>
    <t>IND-0077</t>
  </si>
  <si>
    <t>IND-0078</t>
  </si>
  <si>
    <t>IND-0079</t>
  </si>
  <si>
    <t>IND-0080</t>
  </si>
  <si>
    <t>IND-0081</t>
  </si>
  <si>
    <t>IND-0082</t>
  </si>
  <si>
    <t>IND-0083</t>
  </si>
  <si>
    <t>IND-0084</t>
  </si>
  <si>
    <t>IND-0085</t>
  </si>
  <si>
    <t>IND-0086</t>
  </si>
  <si>
    <t>IND-0087</t>
  </si>
  <si>
    <t>IND-0088</t>
  </si>
  <si>
    <t>IND-0089</t>
  </si>
  <si>
    <t>IND-0090</t>
  </si>
  <si>
    <t>IND-0091</t>
  </si>
  <si>
    <t>IND-0092</t>
  </si>
  <si>
    <t>IND-0093</t>
  </si>
  <si>
    <t>IND-0094</t>
  </si>
  <si>
    <t>IND-0095</t>
  </si>
  <si>
    <t>IND-0096</t>
  </si>
  <si>
    <t>IND-0097</t>
  </si>
  <si>
    <t>IND-0098</t>
  </si>
  <si>
    <t>IND-0099</t>
  </si>
  <si>
    <t>IND-0100</t>
  </si>
  <si>
    <t>IND-0101</t>
  </si>
  <si>
    <t>IND-0102</t>
  </si>
  <si>
    <t>IND-0103</t>
  </si>
  <si>
    <t>IND-0104</t>
  </si>
  <si>
    <t>IND-0105</t>
  </si>
  <si>
    <t>IND-0106</t>
  </si>
  <si>
    <t>IND-0107</t>
  </si>
  <si>
    <t>IND-0108</t>
  </si>
  <si>
    <t>IND-0109</t>
  </si>
  <si>
    <t>IND-0110</t>
  </si>
  <si>
    <t>IND-0111</t>
  </si>
  <si>
    <t>IND-0112</t>
  </si>
  <si>
    <t>IND-0113</t>
  </si>
  <si>
    <t>IND-0114</t>
  </si>
  <si>
    <t>IND-0115</t>
  </si>
  <si>
    <t>IND-0116</t>
  </si>
  <si>
    <t>IND-0117</t>
  </si>
  <si>
    <t>IND-0118</t>
  </si>
  <si>
    <t>IND-0119</t>
  </si>
  <si>
    <t>IND-0120</t>
  </si>
  <si>
    <t>IND-0121</t>
  </si>
  <si>
    <t>IND-0122</t>
  </si>
  <si>
    <t>IND-0123</t>
  </si>
  <si>
    <t>IND-0124</t>
  </si>
  <si>
    <t>IND-0125</t>
  </si>
  <si>
    <t>IND-0126</t>
  </si>
  <si>
    <t>IND-0127</t>
  </si>
  <si>
    <t>IND-0128</t>
  </si>
  <si>
    <t>IND-0129</t>
  </si>
  <si>
    <t>IND-0130</t>
  </si>
  <si>
    <t>IND-0131</t>
  </si>
  <si>
    <t>IND-0132</t>
  </si>
  <si>
    <t>IND-0133</t>
  </si>
  <si>
    <t>IND-0134</t>
  </si>
  <si>
    <t>IND-0135</t>
  </si>
  <si>
    <t>IND-0136</t>
  </si>
  <si>
    <t>IND-0137</t>
  </si>
  <si>
    <t>IND-0138</t>
  </si>
  <si>
    <t>IND-0139</t>
  </si>
  <si>
    <t>IND-0140</t>
  </si>
  <si>
    <t>IND-0141</t>
  </si>
  <si>
    <t>IND-0142</t>
  </si>
  <si>
    <t>IND-0143</t>
  </si>
  <si>
    <t>IND-0144</t>
  </si>
  <si>
    <t>IND-0145</t>
  </si>
  <si>
    <t>IND-0146</t>
  </si>
  <si>
    <t>IND-0147</t>
  </si>
  <si>
    <t>IND-0148</t>
  </si>
  <si>
    <t>IND-0149</t>
  </si>
  <si>
    <t>IND-0150</t>
  </si>
  <si>
    <t>IND-0151</t>
  </si>
  <si>
    <t>IND-0152</t>
  </si>
  <si>
    <t>IND-0153</t>
  </si>
  <si>
    <t>IND-0154</t>
  </si>
  <si>
    <t>IND-0155</t>
  </si>
  <si>
    <t>IND-0156</t>
  </si>
  <si>
    <t>IND-0157</t>
  </si>
  <si>
    <t>IND-0158</t>
  </si>
  <si>
    <t>IND-0159</t>
  </si>
  <si>
    <t>IND-0160</t>
  </si>
  <si>
    <t>IND-0161</t>
  </si>
  <si>
    <t>IND-0162</t>
  </si>
  <si>
    <t>IND-0163</t>
  </si>
  <si>
    <t>IND-0164</t>
  </si>
  <si>
    <t>IND-0165</t>
  </si>
  <si>
    <t>IND-0166</t>
  </si>
  <si>
    <t>IND-0167</t>
  </si>
  <si>
    <t>IND-0168</t>
  </si>
  <si>
    <t>IND-0169</t>
  </si>
  <si>
    <t>IND-0170</t>
  </si>
  <si>
    <t>IND-0171</t>
  </si>
  <si>
    <t>IND-0172</t>
  </si>
  <si>
    <t>IND-0173</t>
  </si>
  <si>
    <t>IND-0174</t>
  </si>
  <si>
    <t>IND-0175</t>
  </si>
  <si>
    <t>IND-0176</t>
  </si>
  <si>
    <t>IND-0177</t>
  </si>
  <si>
    <t>IND-0178</t>
  </si>
  <si>
    <t>IND-0179</t>
  </si>
  <si>
    <t>IND-0180</t>
  </si>
  <si>
    <t>IND-0181</t>
  </si>
  <si>
    <t>IND-0182</t>
  </si>
  <si>
    <t>IND-0183</t>
  </si>
  <si>
    <t>IND-0184</t>
  </si>
  <si>
    <t>IND-0185</t>
  </si>
  <si>
    <t>IND-0186</t>
  </si>
  <si>
    <t>IND-0187</t>
  </si>
  <si>
    <t>IND-0188</t>
  </si>
  <si>
    <t>IND-0189</t>
  </si>
  <si>
    <t>IND-0190</t>
  </si>
  <si>
    <t>IND-0191</t>
  </si>
  <si>
    <t>IND-0192</t>
  </si>
  <si>
    <t>IND-0193</t>
  </si>
  <si>
    <t>IND-0194</t>
  </si>
  <si>
    <t>IND-0195</t>
  </si>
  <si>
    <t>IND-0196</t>
  </si>
  <si>
    <t>IND-0197</t>
  </si>
  <si>
    <t>IND-0198</t>
  </si>
  <si>
    <t>IND-0199</t>
  </si>
  <si>
    <t>IND-0200</t>
  </si>
  <si>
    <t>IND-0201</t>
  </si>
  <si>
    <t>IND-0202</t>
  </si>
  <si>
    <t>IND-0203</t>
  </si>
  <si>
    <t>IND-0204</t>
  </si>
  <si>
    <t>IND-0205</t>
  </si>
  <si>
    <t>IND-0206</t>
  </si>
  <si>
    <t>IND-0207</t>
  </si>
  <si>
    <t>IND-0208</t>
  </si>
  <si>
    <t>IND-0209</t>
  </si>
  <si>
    <t>IND-0210</t>
  </si>
  <si>
    <t>IND-0211</t>
  </si>
  <si>
    <t>IND-0212</t>
  </si>
  <si>
    <t>IND-0213</t>
  </si>
  <si>
    <t>IND-0214</t>
  </si>
  <si>
    <t>IND-0215</t>
  </si>
  <si>
    <t>IND-0216</t>
  </si>
  <si>
    <t>IND-0217</t>
  </si>
  <si>
    <t>IND-0218</t>
  </si>
  <si>
    <t>IND-0219</t>
  </si>
  <si>
    <t>IND-0220</t>
  </si>
  <si>
    <t>IND-0221</t>
  </si>
  <si>
    <t>IND-0222</t>
  </si>
  <si>
    <t>IND-0223</t>
  </si>
  <si>
    <t>IND-0224</t>
  </si>
  <si>
    <t>IND-0225</t>
  </si>
  <si>
    <t>IND-0226</t>
  </si>
  <si>
    <t>IND-0227</t>
  </si>
  <si>
    <t>IND-0228</t>
  </si>
  <si>
    <t>IND-0229</t>
  </si>
  <si>
    <t>IND-0230</t>
  </si>
  <si>
    <t>IND-0231</t>
  </si>
  <si>
    <t>IND-0232</t>
  </si>
  <si>
    <t>IND-0233</t>
  </si>
  <si>
    <t>IND-0234</t>
  </si>
  <si>
    <t>IND-0235</t>
  </si>
  <si>
    <t>IND-0236</t>
  </si>
  <si>
    <t>IND-0237</t>
  </si>
  <si>
    <t>IND-0238</t>
  </si>
  <si>
    <t>IND-0239</t>
  </si>
  <si>
    <t>IND-0240</t>
  </si>
  <si>
    <t>IND-0241</t>
  </si>
  <si>
    <t>IND-0242</t>
  </si>
  <si>
    <t>IND-0243</t>
  </si>
  <si>
    <t>IND-0244</t>
  </si>
  <si>
    <t>IND-0245</t>
  </si>
  <si>
    <t>IND-0246</t>
  </si>
  <si>
    <t>IND-0247</t>
  </si>
  <si>
    <t>IND-0248</t>
  </si>
  <si>
    <t>IND-0249</t>
  </si>
  <si>
    <t>IND-0250</t>
  </si>
  <si>
    <t>IND-0251</t>
  </si>
  <si>
    <t>IND-0252</t>
  </si>
  <si>
    <t>IND-0253</t>
  </si>
  <si>
    <t>IND-0254</t>
  </si>
  <si>
    <t>IND-0255</t>
  </si>
  <si>
    <t>IND-0256</t>
  </si>
  <si>
    <t>IND-0257</t>
  </si>
  <si>
    <t>IND-0258</t>
  </si>
  <si>
    <t>IND-0259</t>
  </si>
  <si>
    <t>IND-0260</t>
  </si>
  <si>
    <t>IND-0261</t>
  </si>
  <si>
    <t>IND-0262</t>
  </si>
  <si>
    <t>IND-0263</t>
  </si>
  <si>
    <t>IND-0264</t>
  </si>
  <si>
    <t>IND-0265</t>
  </si>
  <si>
    <t>IND-0266</t>
  </si>
  <si>
    <t>IND-0267</t>
  </si>
  <si>
    <t>IND-0268</t>
  </si>
  <si>
    <t>IND-0269</t>
  </si>
  <si>
    <t>IND-0270</t>
  </si>
  <si>
    <t>IND-0271</t>
  </si>
  <si>
    <t>IND-0272</t>
  </si>
  <si>
    <t>IND-0273</t>
  </si>
  <si>
    <t>IND-0274</t>
  </si>
  <si>
    <t>IND-0275</t>
  </si>
  <si>
    <t>IND-0276</t>
  </si>
  <si>
    <t>IND-0277</t>
  </si>
  <si>
    <t>IND-0278</t>
  </si>
  <si>
    <t>IND-0279</t>
  </si>
  <si>
    <t>IND-0280</t>
  </si>
  <si>
    <t>IND-0281</t>
  </si>
  <si>
    <t>IND-0282</t>
  </si>
  <si>
    <t>IND-0283</t>
  </si>
  <si>
    <t>IND-0284</t>
  </si>
  <si>
    <t>IND-0285</t>
  </si>
  <si>
    <t>IND-0286</t>
  </si>
  <si>
    <t>IND-0287</t>
  </si>
  <si>
    <t>IND-0288</t>
  </si>
  <si>
    <t>IND-0289</t>
  </si>
  <si>
    <t>IND-0290</t>
  </si>
  <si>
    <t>IND-0291</t>
  </si>
  <si>
    <t>IND-0292</t>
  </si>
  <si>
    <t>IND-0293</t>
  </si>
  <si>
    <t>IND-0294</t>
  </si>
  <si>
    <t>IND-0295</t>
  </si>
  <si>
    <t>IND-0296</t>
  </si>
  <si>
    <t>IND-0297</t>
  </si>
  <si>
    <t>IND-0298</t>
  </si>
  <si>
    <t>IND-0299</t>
  </si>
  <si>
    <t>IND-0300</t>
  </si>
  <si>
    <t>IND-0301</t>
  </si>
  <si>
    <t>IND-0302</t>
  </si>
  <si>
    <t>IND-0303</t>
  </si>
  <si>
    <t>IND-0304</t>
  </si>
  <si>
    <t>IND-0305</t>
  </si>
  <si>
    <t>IND-0306</t>
  </si>
  <si>
    <t>IND-0307</t>
  </si>
  <si>
    <t>IND-0308</t>
  </si>
  <si>
    <t>IND-0309</t>
  </si>
  <si>
    <t>IND-0310</t>
  </si>
  <si>
    <t>IND-0311</t>
  </si>
  <si>
    <t>IND-0312</t>
  </si>
  <si>
    <t>IND-0313</t>
  </si>
  <si>
    <t>IND-0314</t>
  </si>
  <si>
    <t>IND-0315</t>
  </si>
  <si>
    <t>IND-0316</t>
  </si>
  <si>
    <t>IND-0317</t>
  </si>
  <si>
    <t>IND-0318</t>
  </si>
  <si>
    <t>IND-0319</t>
  </si>
  <si>
    <t>IND-0320</t>
  </si>
  <si>
    <t>IND-0321</t>
  </si>
  <si>
    <t>IND-0322</t>
  </si>
  <si>
    <t>IND-0323</t>
  </si>
  <si>
    <t>IND-0324</t>
  </si>
  <si>
    <t>IND-0325</t>
  </si>
  <si>
    <t>IND-0326</t>
  </si>
  <si>
    <t>IND-0327</t>
  </si>
  <si>
    <t>IND-0328</t>
  </si>
  <si>
    <t>IND-0329</t>
  </si>
  <si>
    <t>IND-0330</t>
  </si>
  <si>
    <t>IND-0331</t>
  </si>
  <si>
    <t>IND-0332</t>
  </si>
  <si>
    <t>IND-0333</t>
  </si>
  <si>
    <t>IND-0334</t>
  </si>
  <si>
    <t>IND-0335</t>
  </si>
  <si>
    <t>IND-0336</t>
  </si>
  <si>
    <t>IND-0337</t>
  </si>
  <si>
    <t>IND-0338</t>
  </si>
  <si>
    <t>IND-0339</t>
  </si>
  <si>
    <t>IND-0340</t>
  </si>
  <si>
    <t>IND-0341</t>
  </si>
  <si>
    <t>IND-0342</t>
  </si>
  <si>
    <t>IND-0343</t>
  </si>
  <si>
    <t>IND-0344</t>
  </si>
  <si>
    <t>IND-0345</t>
  </si>
  <si>
    <t>IND-0346</t>
  </si>
  <si>
    <t>IND-0347</t>
  </si>
  <si>
    <t>IND-0348</t>
  </si>
  <si>
    <t>IND-0349</t>
  </si>
  <si>
    <t>IND-0350</t>
  </si>
  <si>
    <t>Samantha Martin</t>
  </si>
  <si>
    <t>Jonathan Blackwell</t>
  </si>
  <si>
    <t>Ross Fields</t>
  </si>
  <si>
    <t>Adrian Wiley</t>
  </si>
  <si>
    <t>Jose Wood</t>
  </si>
  <si>
    <t>Andrea Hanson</t>
  </si>
  <si>
    <t>Richard Miller</t>
  </si>
  <si>
    <t>Tonya Simmons</t>
  </si>
  <si>
    <t>William Ballard</t>
  </si>
  <si>
    <t>Joseph Luna</t>
  </si>
  <si>
    <t>Sara Henderson</t>
  </si>
  <si>
    <t>Ronald Bass</t>
  </si>
  <si>
    <t>Timothy Gomez</t>
  </si>
  <si>
    <t>Denise Moore</t>
  </si>
  <si>
    <t>James Rose</t>
  </si>
  <si>
    <t>Philip Marquez</t>
  </si>
  <si>
    <t>Angela Sanders</t>
  </si>
  <si>
    <t>David Frazier</t>
  </si>
  <si>
    <t>Sheila Gutierrez</t>
  </si>
  <si>
    <t>Theresa Williams</t>
  </si>
  <si>
    <t>Jennifer Collins</t>
  </si>
  <si>
    <t>Timothy Barnes</t>
  </si>
  <si>
    <t>Justin Berry</t>
  </si>
  <si>
    <t>Gene Jackson</t>
  </si>
  <si>
    <t>Mitchell Alexander</t>
  </si>
  <si>
    <t>Tony Branch</t>
  </si>
  <si>
    <t>Jennifer Smith</t>
  </si>
  <si>
    <t>Cindy Hall</t>
  </si>
  <si>
    <t>Gary Lee</t>
  </si>
  <si>
    <t>Jessica Newton</t>
  </si>
  <si>
    <t>Edward Lopez DDS</t>
  </si>
  <si>
    <t>Felicia Wallace</t>
  </si>
  <si>
    <t>Hunter Brooks</t>
  </si>
  <si>
    <t>James Owens</t>
  </si>
  <si>
    <t>Andre Barr</t>
  </si>
  <si>
    <t>Jorge Lee</t>
  </si>
  <si>
    <t>Jennifer Hodge</t>
  </si>
  <si>
    <t>Jonathan Houston</t>
  </si>
  <si>
    <t>Brooke Wilson</t>
  </si>
  <si>
    <t>Wesley Trujillo</t>
  </si>
  <si>
    <t>Heidi Harvey</t>
  </si>
  <si>
    <t>Tracy Phillips</t>
  </si>
  <si>
    <t>Marilyn Ryan</t>
  </si>
  <si>
    <t>Andrew Quinn</t>
  </si>
  <si>
    <t>Todd Campbell</t>
  </si>
  <si>
    <t>Taylor Brewer</t>
  </si>
  <si>
    <t>Michael White</t>
  </si>
  <si>
    <t>Cheryl Roberts</t>
  </si>
  <si>
    <t>Kendra Diaz</t>
  </si>
  <si>
    <t>Natalie Perez</t>
  </si>
  <si>
    <t>Marie Brown</t>
  </si>
  <si>
    <t>Ryan Hughes</t>
  </si>
  <si>
    <t>John Anderson</t>
  </si>
  <si>
    <t>Jeffrey Evans</t>
  </si>
  <si>
    <t>Melanie Gardner</t>
  </si>
  <si>
    <t>Todd Christensen</t>
  </si>
  <si>
    <t>Steven Warren</t>
  </si>
  <si>
    <t>Thomas Smith</t>
  </si>
  <si>
    <t>Dana Greene</t>
  </si>
  <si>
    <t>Rachel Thomas</t>
  </si>
  <si>
    <t>Joseph Green</t>
  </si>
  <si>
    <t>Michael Higgins</t>
  </si>
  <si>
    <t>Melinda Sawyer</t>
  </si>
  <si>
    <t>Samuel Davis</t>
  </si>
  <si>
    <t>David Adkins</t>
  </si>
  <si>
    <t>Ryan Ballard</t>
  </si>
  <si>
    <t>Alyssa Hughes</t>
  </si>
  <si>
    <t>Natasha Gamble</t>
  </si>
  <si>
    <t>Scott Williams</t>
  </si>
  <si>
    <t>Kelsey Morris</t>
  </si>
  <si>
    <t>Jessica Dodson</t>
  </si>
  <si>
    <t>Francisco Haynes</t>
  </si>
  <si>
    <t>Joshua Rogers</t>
  </si>
  <si>
    <t>Larry Sims</t>
  </si>
  <si>
    <t>Kristen Cunningham</t>
  </si>
  <si>
    <t>Darius Garcia</t>
  </si>
  <si>
    <t>Donna Cruz</t>
  </si>
  <si>
    <t>Michael Mitchell</t>
  </si>
  <si>
    <t>Angela Reyes</t>
  </si>
  <si>
    <t>Steven Rodriguez</t>
  </si>
  <si>
    <t>Johnathan Cook</t>
  </si>
  <si>
    <t>Lisa Miranda</t>
  </si>
  <si>
    <t>Shawn Obrien</t>
  </si>
  <si>
    <t>Spencer Brown</t>
  </si>
  <si>
    <t>Miss Abigail Jones</t>
  </si>
  <si>
    <t>Christy Brown DDS</t>
  </si>
  <si>
    <t>Joseph Li</t>
  </si>
  <si>
    <t>Andrew Russo</t>
  </si>
  <si>
    <t>Lisa Dickson</t>
  </si>
  <si>
    <t>Devin Mcbride</t>
  </si>
  <si>
    <t>Robert Burke</t>
  </si>
  <si>
    <t>Jessica Walker</t>
  </si>
  <si>
    <t>James Thomas</t>
  </si>
  <si>
    <t>Christopher Nelson</t>
  </si>
  <si>
    <t>Tiffany Moore</t>
  </si>
  <si>
    <t>Tina Bray</t>
  </si>
  <si>
    <t>Bradley White</t>
  </si>
  <si>
    <t>Tina Lewis</t>
  </si>
  <si>
    <t>Timothy Roberts</t>
  </si>
  <si>
    <t>Michael Reese</t>
  </si>
  <si>
    <t>Brandi Skinner</t>
  </si>
  <si>
    <t>Michelle Powell</t>
  </si>
  <si>
    <t>Lucas Mack</t>
  </si>
  <si>
    <t>Kelly Garcia</t>
  </si>
  <si>
    <t>Teresa Beck</t>
  </si>
  <si>
    <t>Michele Cook</t>
  </si>
  <si>
    <t>Melanie Williams</t>
  </si>
  <si>
    <t>Matthew Miller</t>
  </si>
  <si>
    <t>Cindy Bradshaw</t>
  </si>
  <si>
    <t>Robert Lambert</t>
  </si>
  <si>
    <t>Janice Blankenship</t>
  </si>
  <si>
    <t>Juan Hobbs</t>
  </si>
  <si>
    <t>Crystal Young</t>
  </si>
  <si>
    <t>Lisa Morgan</t>
  </si>
  <si>
    <t>Jason Rogers</t>
  </si>
  <si>
    <t>Nathan Anderson</t>
  </si>
  <si>
    <t>Crystal Miller</t>
  </si>
  <si>
    <t>Jon Davis</t>
  </si>
  <si>
    <t>Victoria Scott</t>
  </si>
  <si>
    <t>James Martin</t>
  </si>
  <si>
    <t>Daniel Austin</t>
  </si>
  <si>
    <t>Ashley Allen</t>
  </si>
  <si>
    <t>Michael Curry</t>
  </si>
  <si>
    <t>Amanda Rodriguez</t>
  </si>
  <si>
    <t>Joseph Williams</t>
  </si>
  <si>
    <t>Harold Lee</t>
  </si>
  <si>
    <t>Brian Jones</t>
  </si>
  <si>
    <t>Austin Hanson</t>
  </si>
  <si>
    <t>Melinda Benjamin</t>
  </si>
  <si>
    <t>Heather Doyle MD</t>
  </si>
  <si>
    <t>Kayla Chan</t>
  </si>
  <si>
    <t>William Rubio</t>
  </si>
  <si>
    <t>Jessica Holloway</t>
  </si>
  <si>
    <t>Erin Kelly</t>
  </si>
  <si>
    <t>Natalie White</t>
  </si>
  <si>
    <t>William Costa III</t>
  </si>
  <si>
    <t>Stanley Simpson</t>
  </si>
  <si>
    <t>Shawn Jones</t>
  </si>
  <si>
    <t>Michael Porter</t>
  </si>
  <si>
    <t>Vanessa Fisher</t>
  </si>
  <si>
    <t>James Hicks</t>
  </si>
  <si>
    <t>Diana Ruiz</t>
  </si>
  <si>
    <t>Antonio Marquez</t>
  </si>
  <si>
    <t>Paul Hood</t>
  </si>
  <si>
    <t>Teresa Bowers</t>
  </si>
  <si>
    <t>Marie May</t>
  </si>
  <si>
    <t>Christian Bell</t>
  </si>
  <si>
    <t>Deborah Tanner</t>
  </si>
  <si>
    <t>David Giles</t>
  </si>
  <si>
    <t>Kelsey Tran</t>
  </si>
  <si>
    <t>Michael Stewart</t>
  </si>
  <si>
    <t>Michael Young</t>
  </si>
  <si>
    <t>Garrett Francis</t>
  </si>
  <si>
    <t>Adrian Leonard</t>
  </si>
  <si>
    <t>Chloe Edwards</t>
  </si>
  <si>
    <t>Brenda Nichols</t>
  </si>
  <si>
    <t>Andrew Olson</t>
  </si>
  <si>
    <t>Melody Burgess</t>
  </si>
  <si>
    <t>Mrs. Miranda Stewart</t>
  </si>
  <si>
    <t>Michael Williams</t>
  </si>
  <si>
    <t>Ann Henderson</t>
  </si>
  <si>
    <t>Michael Freeman</t>
  </si>
  <si>
    <t>William Adams</t>
  </si>
  <si>
    <t>Kelly Mahoney</t>
  </si>
  <si>
    <t>Shawn Wright</t>
  </si>
  <si>
    <t>James Bush</t>
  </si>
  <si>
    <t>Brian Quinn</t>
  </si>
  <si>
    <t>Brittany Nolan</t>
  </si>
  <si>
    <t>Benjamin Friedman</t>
  </si>
  <si>
    <t>Audrey Mayo</t>
  </si>
  <si>
    <t>Anna Williams</t>
  </si>
  <si>
    <t>Kim Gonzalez</t>
  </si>
  <si>
    <t>Andrew Rodriguez</t>
  </si>
  <si>
    <t>Charles Le</t>
  </si>
  <si>
    <t>Lisa Marquez</t>
  </si>
  <si>
    <t>Tricia Hutchinson</t>
  </si>
  <si>
    <t>Allison Green</t>
  </si>
  <si>
    <t>John Moreno</t>
  </si>
  <si>
    <t>Bryan Roberts</t>
  </si>
  <si>
    <t>Rhonda Maynard</t>
  </si>
  <si>
    <t>Mark Cook</t>
  </si>
  <si>
    <t>Stephen Roach</t>
  </si>
  <si>
    <t>Taylor Johnson</t>
  </si>
  <si>
    <t>Philip Garcia</t>
  </si>
  <si>
    <t>Travis Rice</t>
  </si>
  <si>
    <t>Gabriella Heath</t>
  </si>
  <si>
    <t>Ricardo Winters</t>
  </si>
  <si>
    <t>Kathryn Kramer</t>
  </si>
  <si>
    <t>Jared Short</t>
  </si>
  <si>
    <t>William Watson</t>
  </si>
  <si>
    <t>Joy Ayala</t>
  </si>
  <si>
    <t>Catherine Davis</t>
  </si>
  <si>
    <t>Scott Walls</t>
  </si>
  <si>
    <t>James Camacho</t>
  </si>
  <si>
    <t>Veronica Maynard</t>
  </si>
  <si>
    <t>Kelly Clark</t>
  </si>
  <si>
    <t>Mr. Kevin Rivera Jr.</t>
  </si>
  <si>
    <t>Kayla Robertson</t>
  </si>
  <si>
    <t>Charlotte Miller</t>
  </si>
  <si>
    <t>Michael Trujillo</t>
  </si>
  <si>
    <t>Jessica Jensen</t>
  </si>
  <si>
    <t>Mr. Tom Gray</t>
  </si>
  <si>
    <t>Maria Davis</t>
  </si>
  <si>
    <t>Gary Snyder</t>
  </si>
  <si>
    <t>Ryan Cole</t>
  </si>
  <si>
    <t>Robert Brandt</t>
  </si>
  <si>
    <t>Steven Welch</t>
  </si>
  <si>
    <t>David Diaz</t>
  </si>
  <si>
    <t>Lauren Brown</t>
  </si>
  <si>
    <t>Gerald Baker</t>
  </si>
  <si>
    <t>Cynthia Rhodes</t>
  </si>
  <si>
    <t>Jessica Allen</t>
  </si>
  <si>
    <t>Adam Middleton</t>
  </si>
  <si>
    <t>Jose Daniel</t>
  </si>
  <si>
    <t>Lisa Thompson</t>
  </si>
  <si>
    <t>John Johnson</t>
  </si>
  <si>
    <t>Anna Johnson</t>
  </si>
  <si>
    <t>Ricky Freeman</t>
  </si>
  <si>
    <t>Robert Anderson</t>
  </si>
  <si>
    <t>Tyler Wyatt</t>
  </si>
  <si>
    <t>Madison Gallagher</t>
  </si>
  <si>
    <t>Kyle Flynn</t>
  </si>
  <si>
    <t>Bryan Williams</t>
  </si>
  <si>
    <t>Donna Rowe</t>
  </si>
  <si>
    <t>Matthew Abbott</t>
  </si>
  <si>
    <t>Randy Morales</t>
  </si>
  <si>
    <t>Tracy Reed</t>
  </si>
  <si>
    <t>Briana King</t>
  </si>
  <si>
    <t>Kristina Valenzuela</t>
  </si>
  <si>
    <t>Christopher Park</t>
  </si>
  <si>
    <t>Ian Fowler</t>
  </si>
  <si>
    <t>Harold Richard</t>
  </si>
  <si>
    <t>Craig Owens</t>
  </si>
  <si>
    <t>Randy Hart</t>
  </si>
  <si>
    <t>Richard Martin</t>
  </si>
  <si>
    <t>Katherine Powell</t>
  </si>
  <si>
    <t>Taylor Hale</t>
  </si>
  <si>
    <t>Amy Dickerson</t>
  </si>
  <si>
    <t>Nichole Mcdonald</t>
  </si>
  <si>
    <t>Amanda Walter</t>
  </si>
  <si>
    <t>Sharon Buchanan</t>
  </si>
  <si>
    <t>Scott Nelson</t>
  </si>
  <si>
    <t>David Jones</t>
  </si>
  <si>
    <t>Brittany Thomas MD</t>
  </si>
  <si>
    <t>Timothy Garcia</t>
  </si>
  <si>
    <t>Aaron Guzman</t>
  </si>
  <si>
    <t>Isabel Madden</t>
  </si>
  <si>
    <t>Jermaine Day</t>
  </si>
  <si>
    <t>Donna Jones</t>
  </si>
  <si>
    <t>Randy Gross</t>
  </si>
  <si>
    <t>Kevin Harper</t>
  </si>
  <si>
    <t>Aaron Jones</t>
  </si>
  <si>
    <t>Amber Palmer</t>
  </si>
  <si>
    <t>Jessica Hodges</t>
  </si>
  <si>
    <t>Anthony Phillips</t>
  </si>
  <si>
    <t>Carlos Foster</t>
  </si>
  <si>
    <t>Hector Carr</t>
  </si>
  <si>
    <t>John Snow</t>
  </si>
  <si>
    <t>Vicki Russo</t>
  </si>
  <si>
    <t>Samantha Alvarez</t>
  </si>
  <si>
    <t>David Nielsen</t>
  </si>
  <si>
    <t>Amanda Gonzalez</t>
  </si>
  <si>
    <t>Amanda Salazar</t>
  </si>
  <si>
    <t>Joseph Holmes</t>
  </si>
  <si>
    <t>Julie Williams</t>
  </si>
  <si>
    <t>Michael Chang</t>
  </si>
  <si>
    <t>Michelle Allen</t>
  </si>
  <si>
    <t>Mr. Tim Le</t>
  </si>
  <si>
    <t>Vicki Torres</t>
  </si>
  <si>
    <t>David Carter</t>
  </si>
  <si>
    <t>Valerie Kelly</t>
  </si>
  <si>
    <t>William Fox</t>
  </si>
  <si>
    <t>David Cervantes</t>
  </si>
  <si>
    <t>Tony Martin</t>
  </si>
  <si>
    <t>Melissa Smith</t>
  </si>
  <si>
    <t>Thomas Malone</t>
  </si>
  <si>
    <t>Monica Williams</t>
  </si>
  <si>
    <t>Madison Stokes</t>
  </si>
  <si>
    <t>Brittany Williamson</t>
  </si>
  <si>
    <t>Julie Shaffer</t>
  </si>
  <si>
    <t>Haley Joseph</t>
  </si>
  <si>
    <t>Chelsea Rivera</t>
  </si>
  <si>
    <t>Joanne Romero</t>
  </si>
  <si>
    <t>Jason Cooper</t>
  </si>
  <si>
    <t>Dawn Wong</t>
  </si>
  <si>
    <t>Rachel Kent</t>
  </si>
  <si>
    <t>John Chambers</t>
  </si>
  <si>
    <t>Sandra Harris</t>
  </si>
  <si>
    <t>Robert Nielsen</t>
  </si>
  <si>
    <t>Justin Bradley</t>
  </si>
  <si>
    <t>Teresa Morrison</t>
  </si>
  <si>
    <t>William Ward</t>
  </si>
  <si>
    <t>Dr. Joel Carpenter MD</t>
  </si>
  <si>
    <t>Benjamin Roberts</t>
  </si>
  <si>
    <t>Lisa James</t>
  </si>
  <si>
    <t>Donna Russo</t>
  </si>
  <si>
    <t>Brandi Manning</t>
  </si>
  <si>
    <t>Garrett Morales</t>
  </si>
  <si>
    <t>Heather Martin</t>
  </si>
  <si>
    <t>Michael Campbell</t>
  </si>
  <si>
    <t>Jeremy Floyd</t>
  </si>
  <si>
    <t>Taylor Young</t>
  </si>
  <si>
    <t>Robert Williams</t>
  </si>
  <si>
    <t>Jeffrey Young</t>
  </si>
  <si>
    <t>Craig Walsh</t>
  </si>
  <si>
    <t>Taylor Vega</t>
  </si>
  <si>
    <t>Jonathan Moore</t>
  </si>
  <si>
    <t>Andrew Jenkins</t>
  </si>
  <si>
    <t>Joshua Roberson</t>
  </si>
  <si>
    <t>David Peters II</t>
  </si>
  <si>
    <t>Scott Martinez</t>
  </si>
  <si>
    <t>Victoria Martinez</t>
  </si>
  <si>
    <t>Jennifer Walker</t>
  </si>
  <si>
    <t>Elizabeth Lopez</t>
  </si>
  <si>
    <t>Logan Davis</t>
  </si>
  <si>
    <t>Timothy Jackson</t>
  </si>
  <si>
    <t>Brenda Green</t>
  </si>
  <si>
    <t>Lindsay Foster</t>
  </si>
  <si>
    <t>Sara Reynolds</t>
  </si>
  <si>
    <t>Michael Kim</t>
  </si>
  <si>
    <t>April Gardner</t>
  </si>
  <si>
    <t>Benjamin Rose</t>
  </si>
  <si>
    <t>Pamela Murillo</t>
  </si>
  <si>
    <t>Aaron Boyd</t>
  </si>
  <si>
    <t>Ann Alexander</t>
  </si>
  <si>
    <t>Jackson Howard</t>
  </si>
  <si>
    <t>Juan Porter</t>
  </si>
  <si>
    <t>Lori Andrews</t>
  </si>
  <si>
    <t>Paul Williams</t>
  </si>
  <si>
    <t>James Salinas</t>
  </si>
  <si>
    <t>Justin Morris</t>
  </si>
  <si>
    <t>Taylor Miller</t>
  </si>
  <si>
    <t>Eric Sims</t>
  </si>
  <si>
    <t>Daniel Woods</t>
  </si>
  <si>
    <t>Alicia Anderson</t>
  </si>
  <si>
    <t>Natasha Cuevas</t>
  </si>
  <si>
    <t>John Miller</t>
  </si>
  <si>
    <t>Autumn Jones</t>
  </si>
  <si>
    <t>Tim Mcpherson</t>
  </si>
  <si>
    <t>Mary Miller</t>
  </si>
  <si>
    <t>Jessica Woods</t>
  </si>
  <si>
    <t>Cheyenne Bates</t>
  </si>
  <si>
    <t>Elizabeth Snyder</t>
  </si>
  <si>
    <t>Emily Smith</t>
  </si>
  <si>
    <t>Sarah Swanson</t>
  </si>
  <si>
    <t>Driver’s License</t>
  </si>
  <si>
    <t>Passport</t>
  </si>
  <si>
    <t>National ID</t>
  </si>
  <si>
    <t>pP-14348</t>
  </si>
  <si>
    <t>ZC-30950</t>
  </si>
  <si>
    <t>XX-96716</t>
  </si>
  <si>
    <t>dY-68620</t>
  </si>
  <si>
    <t>on-90132</t>
  </si>
  <si>
    <t>SD-53577</t>
  </si>
  <si>
    <t>AB-70690</t>
  </si>
  <si>
    <t>VP-83039</t>
  </si>
  <si>
    <t>SA-28001</t>
  </si>
  <si>
    <t>mc-21870</t>
  </si>
  <si>
    <t>oP-23382</t>
  </si>
  <si>
    <t>tN-57068</t>
  </si>
  <si>
    <t>wg-39556</t>
  </si>
  <si>
    <t>na-00340</t>
  </si>
  <si>
    <t>Xm-81291</t>
  </si>
  <si>
    <t>hv-66146</t>
  </si>
  <si>
    <t>xG-53524</t>
  </si>
  <si>
    <t>eS-74181</t>
  </si>
  <si>
    <t>hu-49036</t>
  </si>
  <si>
    <t>bi-52742</t>
  </si>
  <si>
    <t>MA-68870</t>
  </si>
  <si>
    <t>oa-29707</t>
  </si>
  <si>
    <t>Po-00216</t>
  </si>
  <si>
    <t>yF-36550</t>
  </si>
  <si>
    <t>EA-98442</t>
  </si>
  <si>
    <t>IY-23503</t>
  </si>
  <si>
    <t>ER-83584</t>
  </si>
  <si>
    <t>lz-24094</t>
  </si>
  <si>
    <t>Yq-22384</t>
  </si>
  <si>
    <t>Ad-79950</t>
  </si>
  <si>
    <t>ld-60534</t>
  </si>
  <si>
    <t>gt-89567</t>
  </si>
  <si>
    <t>bD-53261</t>
  </si>
  <si>
    <t>fe-59360</t>
  </si>
  <si>
    <t>jC-24684</t>
  </si>
  <si>
    <t>bb-18652</t>
  </si>
  <si>
    <t>bV-09674</t>
  </si>
  <si>
    <t>UZ-55028</t>
  </si>
  <si>
    <t>pN-60157</t>
  </si>
  <si>
    <t>WQ-65945</t>
  </si>
  <si>
    <t>cB-28305</t>
  </si>
  <si>
    <t>Je-73232</t>
  </si>
  <si>
    <t>qy-22449</t>
  </si>
  <si>
    <t>fJ-48817</t>
  </si>
  <si>
    <t>Qk-52691</t>
  </si>
  <si>
    <t>VE-17451</t>
  </si>
  <si>
    <t>MN-26375</t>
  </si>
  <si>
    <t>ul-91821</t>
  </si>
  <si>
    <t>Wc-89877</t>
  </si>
  <si>
    <t>zh-95500</t>
  </si>
  <si>
    <t>kl-78153</t>
  </si>
  <si>
    <t>tj-33623</t>
  </si>
  <si>
    <t>bK-33527</t>
  </si>
  <si>
    <t>bd-45258</t>
  </si>
  <si>
    <t>dg-34473</t>
  </si>
  <si>
    <t>yi-45374</t>
  </si>
  <si>
    <t>ye-80363</t>
  </si>
  <si>
    <t>pn-02572</t>
  </si>
  <si>
    <t>tV-73701</t>
  </si>
  <si>
    <t>yE-58786</t>
  </si>
  <si>
    <t>Cv-67370</t>
  </si>
  <si>
    <t>zN-41268</t>
  </si>
  <si>
    <t>xj-95187</t>
  </si>
  <si>
    <t>xf-69918</t>
  </si>
  <si>
    <t>Nl-60755</t>
  </si>
  <si>
    <t>gP-80343</t>
  </si>
  <si>
    <t>WJ-94446</t>
  </si>
  <si>
    <t>yA-92851</t>
  </si>
  <si>
    <t>Bd-49762</t>
  </si>
  <si>
    <t>pI-67422</t>
  </si>
  <si>
    <t>cd-62900</t>
  </si>
  <si>
    <t>eq-03866</t>
  </si>
  <si>
    <t>CD-41538</t>
  </si>
  <si>
    <t>gg-50601</t>
  </si>
  <si>
    <t>zw-06402</t>
  </si>
  <si>
    <t>yv-08545</t>
  </si>
  <si>
    <t>VM-81360</t>
  </si>
  <si>
    <t>To-61393</t>
  </si>
  <si>
    <t>BR-87466</t>
  </si>
  <si>
    <t>KB-98344</t>
  </si>
  <si>
    <t>np-97933</t>
  </si>
  <si>
    <t>Np-56775</t>
  </si>
  <si>
    <t>jR-24489</t>
  </si>
  <si>
    <t>Yn-06866</t>
  </si>
  <si>
    <t>mQ-33835</t>
  </si>
  <si>
    <t>tX-30151</t>
  </si>
  <si>
    <t>wA-79401</t>
  </si>
  <si>
    <t>qo-39252</t>
  </si>
  <si>
    <t>aa-78067</t>
  </si>
  <si>
    <t>Rx-98606</t>
  </si>
  <si>
    <t>UN-06195</t>
  </si>
  <si>
    <t>oD-45374</t>
  </si>
  <si>
    <t>Nl-92385</t>
  </si>
  <si>
    <t>Rf-88744</t>
  </si>
  <si>
    <t>wa-63376</t>
  </si>
  <si>
    <t>cT-54232</t>
  </si>
  <si>
    <t>SC-84573</t>
  </si>
  <si>
    <t>KE-73300</t>
  </si>
  <si>
    <t>jj-69081</t>
  </si>
  <si>
    <t>GP-68589</t>
  </si>
  <si>
    <t>Lc-12331</t>
  </si>
  <si>
    <t>HJ-31658</t>
  </si>
  <si>
    <t>PE-60591</t>
  </si>
  <si>
    <t>FM-66731</t>
  </si>
  <si>
    <t>cx-41129</t>
  </si>
  <si>
    <t>UJ-51046</t>
  </si>
  <si>
    <t>oz-33607</t>
  </si>
  <si>
    <t>iY-03687</t>
  </si>
  <si>
    <t>ni-63213</t>
  </si>
  <si>
    <t>bP-45077</t>
  </si>
  <si>
    <t>qn-05055</t>
  </si>
  <si>
    <t>Nj-42218</t>
  </si>
  <si>
    <t>qC-98834</t>
  </si>
  <si>
    <t>hr-14309</t>
  </si>
  <si>
    <t>Ux-27211</t>
  </si>
  <si>
    <t>Ds-70006</t>
  </si>
  <si>
    <t>dm-05391</t>
  </si>
  <si>
    <t>Oc-91292</t>
  </si>
  <si>
    <t>UU-70006</t>
  </si>
  <si>
    <t>pC-91952</t>
  </si>
  <si>
    <t>Bc-08783</t>
  </si>
  <si>
    <t>nn-50469</t>
  </si>
  <si>
    <t>GQ-34963</t>
  </si>
  <si>
    <t>JW-41433</t>
  </si>
  <si>
    <t>Jb-27628</t>
  </si>
  <si>
    <t>BO-98546</t>
  </si>
  <si>
    <t>ed-93954</t>
  </si>
  <si>
    <t>pf-63180</t>
  </si>
  <si>
    <t>gS-69044</t>
  </si>
  <si>
    <t>In-38037</t>
  </si>
  <si>
    <t>Ai-98281</t>
  </si>
  <si>
    <t>wL-94711</t>
  </si>
  <si>
    <t>Iv-12524</t>
  </si>
  <si>
    <t>LE-74537</t>
  </si>
  <si>
    <t>nc-02087</t>
  </si>
  <si>
    <t>ge-35168</t>
  </si>
  <si>
    <t>dN-30487</t>
  </si>
  <si>
    <t>dx-28586</t>
  </si>
  <si>
    <t>MS-22564</t>
  </si>
  <si>
    <t>Xg-65435</t>
  </si>
  <si>
    <t>Jx-02471</t>
  </si>
  <si>
    <t>Pp-15158</t>
  </si>
  <si>
    <t>Hi-05076</t>
  </si>
  <si>
    <t>av-01867</t>
  </si>
  <si>
    <t>XB-75717</t>
  </si>
  <si>
    <t>ic-40676</t>
  </si>
  <si>
    <t>yI-28802</t>
  </si>
  <si>
    <t>FY-75153</t>
  </si>
  <si>
    <t>oR-01710</t>
  </si>
  <si>
    <t>Xz-40803</t>
  </si>
  <si>
    <t>dQ-38439</t>
  </si>
  <si>
    <t>gR-84850</t>
  </si>
  <si>
    <t>FU-92022</t>
  </si>
  <si>
    <t>Xl-99072</t>
  </si>
  <si>
    <t>to-79573</t>
  </si>
  <si>
    <t>bk-85417</t>
  </si>
  <si>
    <t>PU-11560</t>
  </si>
  <si>
    <t>JT-33982</t>
  </si>
  <si>
    <t>Qn-95946</t>
  </si>
  <si>
    <t>NR-69199</t>
  </si>
  <si>
    <t>hF-22369</t>
  </si>
  <si>
    <t>GM-80101</t>
  </si>
  <si>
    <t>Et-69224</t>
  </si>
  <si>
    <t>Sl-01671</t>
  </si>
  <si>
    <t>NY-83276</t>
  </si>
  <si>
    <t>dz-95209</t>
  </si>
  <si>
    <t>pZ-03214</t>
  </si>
  <si>
    <t>Pa-22153</t>
  </si>
  <si>
    <t>Re-76559</t>
  </si>
  <si>
    <t>qA-66139</t>
  </si>
  <si>
    <t>RO-97585</t>
  </si>
  <si>
    <t>hw-61054</t>
  </si>
  <si>
    <t>Oj-15404</t>
  </si>
  <si>
    <t>fX-08751</t>
  </si>
  <si>
    <t>Ix-54921</t>
  </si>
  <si>
    <t>iy-65794</t>
  </si>
  <si>
    <t>hQ-18649</t>
  </si>
  <si>
    <t>Ty-36047</t>
  </si>
  <si>
    <t>pJ-50938</t>
  </si>
  <si>
    <t>mx-37206</t>
  </si>
  <si>
    <t>Os-24926</t>
  </si>
  <si>
    <t>Wf-16580</t>
  </si>
  <si>
    <t>Qs-20697</t>
  </si>
  <si>
    <t>SG-14842</t>
  </si>
  <si>
    <t>st-09677</t>
  </si>
  <si>
    <t>Wb-52415</t>
  </si>
  <si>
    <t>pM-69926</t>
  </si>
  <si>
    <t>tg-25565</t>
  </si>
  <si>
    <t>Er-82506</t>
  </si>
  <si>
    <t>fZ-43462</t>
  </si>
  <si>
    <t>SL-51986</t>
  </si>
  <si>
    <t>Yy-15054</t>
  </si>
  <si>
    <t>OA-33904</t>
  </si>
  <si>
    <t>Ma-44797</t>
  </si>
  <si>
    <t>fZ-47860</t>
  </si>
  <si>
    <t>kT-09748</t>
  </si>
  <si>
    <t>yW-28600</t>
  </si>
  <si>
    <t>TB-41606</t>
  </si>
  <si>
    <t>Ei-32483</t>
  </si>
  <si>
    <t>JG-25267</t>
  </si>
  <si>
    <t>wa-66411</t>
  </si>
  <si>
    <t>eP-18624</t>
  </si>
  <si>
    <t>Qs-17933</t>
  </si>
  <si>
    <t>vH-53553</t>
  </si>
  <si>
    <t>qE-10466</t>
  </si>
  <si>
    <t>DT-74095</t>
  </si>
  <si>
    <t>so-59064</t>
  </si>
  <si>
    <t>Vb-58622</t>
  </si>
  <si>
    <t>sf-26597</t>
  </si>
  <si>
    <t>UO-50964</t>
  </si>
  <si>
    <t>xV-76231</t>
  </si>
  <si>
    <t>wl-13750</t>
  </si>
  <si>
    <t>bM-00048</t>
  </si>
  <si>
    <t>Tu-65252</t>
  </si>
  <si>
    <t>KJ-52318</t>
  </si>
  <si>
    <t>nC-07458</t>
  </si>
  <si>
    <t>aA-98852</t>
  </si>
  <si>
    <t>ke-73545</t>
  </si>
  <si>
    <t>mF-60937</t>
  </si>
  <si>
    <t>Yo-50797</t>
  </si>
  <si>
    <t>IO-52318</t>
  </si>
  <si>
    <t>gh-49047</t>
  </si>
  <si>
    <t>it-51917</t>
  </si>
  <si>
    <t>GP-01484</t>
  </si>
  <si>
    <t>Vi-08707</t>
  </si>
  <si>
    <t>Be-45969</t>
  </si>
  <si>
    <t>uc-94852</t>
  </si>
  <si>
    <t>fH-24176</t>
  </si>
  <si>
    <t>Js-37940</t>
  </si>
  <si>
    <t>Ue-52861</t>
  </si>
  <si>
    <t>US-78284</t>
  </si>
  <si>
    <t>vT-53194</t>
  </si>
  <si>
    <t>yo-06065</t>
  </si>
  <si>
    <t>nL-88337</t>
  </si>
  <si>
    <t>nA-88031</t>
  </si>
  <si>
    <t>oL-23994</t>
  </si>
  <si>
    <t>gx-66886</t>
  </si>
  <si>
    <t>Wb-12453</t>
  </si>
  <si>
    <t>Ou-95627</t>
  </si>
  <si>
    <t>jl-18574</t>
  </si>
  <si>
    <t>bM-99104</t>
  </si>
  <si>
    <t>Nz-58042</t>
  </si>
  <si>
    <t>DH-38346</t>
  </si>
  <si>
    <t>jR-60297</t>
  </si>
  <si>
    <t>xM-37293</t>
  </si>
  <si>
    <t>oV-82611</t>
  </si>
  <si>
    <t>hs-57419</t>
  </si>
  <si>
    <t>yn-43304</t>
  </si>
  <si>
    <t>Au-90364</t>
  </si>
  <si>
    <t>hC-99953</t>
  </si>
  <si>
    <t>Qi-73623</t>
  </si>
  <si>
    <t>QD-19715</t>
  </si>
  <si>
    <t>wC-50037</t>
  </si>
  <si>
    <t>KJ-49053</t>
  </si>
  <si>
    <t>mc-87995</t>
  </si>
  <si>
    <t>eQ-67811</t>
  </si>
  <si>
    <t>MJ-13550</t>
  </si>
  <si>
    <t>vy-22399</t>
  </si>
  <si>
    <t>wj-87411</t>
  </si>
  <si>
    <t>MO-85049</t>
  </si>
  <si>
    <t>np-08178</t>
  </si>
  <si>
    <t>FW-00891</t>
  </si>
  <si>
    <t>RX-39863</t>
  </si>
  <si>
    <t>Ny-64996</t>
  </si>
  <si>
    <t>EP-29300</t>
  </si>
  <si>
    <t>RH-35686</t>
  </si>
  <si>
    <t>GP-52249</t>
  </si>
  <si>
    <t>qH-10943</t>
  </si>
  <si>
    <t>zc-49661</t>
  </si>
  <si>
    <t>Af-61163</t>
  </si>
  <si>
    <t>KY-84158</t>
  </si>
  <si>
    <t>uO-86685</t>
  </si>
  <si>
    <t>Xs-60233</t>
  </si>
  <si>
    <t>et-61086</t>
  </si>
  <si>
    <t>Ov-22809</t>
  </si>
  <si>
    <t>PH-69544</t>
  </si>
  <si>
    <t>nc-36497</t>
  </si>
  <si>
    <t>wf-05638</t>
  </si>
  <si>
    <t>Rr-88245</t>
  </si>
  <si>
    <t>JE-93917</t>
  </si>
  <si>
    <t>jO-78937</t>
  </si>
  <si>
    <t>jJ-48332</t>
  </si>
  <si>
    <t>TR-78075</t>
  </si>
  <si>
    <t>zN-63632</t>
  </si>
  <si>
    <t>Go-62350</t>
  </si>
  <si>
    <t>eX-15487</t>
  </si>
  <si>
    <t>yz-60453</t>
  </si>
  <si>
    <t>mN-01397</t>
  </si>
  <si>
    <t>fh-25186</t>
  </si>
  <si>
    <t>ga-94298</t>
  </si>
  <si>
    <t>Qp-77452</t>
  </si>
  <si>
    <t>Fq-24525</t>
  </si>
  <si>
    <t>ed-35348</t>
  </si>
  <si>
    <t>Kk-92116</t>
  </si>
  <si>
    <t>Tb-74307</t>
  </si>
  <si>
    <t>Gn-01964</t>
  </si>
  <si>
    <t>tQ-75530</t>
  </si>
  <si>
    <t>QC-91326</t>
  </si>
  <si>
    <t>XU-19004</t>
  </si>
  <si>
    <t>Lx-44404</t>
  </si>
  <si>
    <t>jh-79047</t>
  </si>
  <si>
    <t>WR-14742</t>
  </si>
  <si>
    <t>Bu-93105</t>
  </si>
  <si>
    <t>ZK-76448</t>
  </si>
  <si>
    <t>mD-67115</t>
  </si>
  <si>
    <t>yz-16733</t>
  </si>
  <si>
    <t>rn-87890</t>
  </si>
  <si>
    <t>yO-41634</t>
  </si>
  <si>
    <t>kV-29207</t>
  </si>
  <si>
    <t>Ig-28441</t>
  </si>
  <si>
    <t>ek-47254</t>
  </si>
  <si>
    <t>Uy-51201</t>
  </si>
  <si>
    <t>pm-89720</t>
  </si>
  <si>
    <t>ru-14694</t>
  </si>
  <si>
    <t>nK-61481</t>
  </si>
  <si>
    <t>dW-82240</t>
  </si>
  <si>
    <t>dR-44485</t>
  </si>
  <si>
    <t>Ay-61659</t>
  </si>
  <si>
    <t>TO-72532</t>
  </si>
  <si>
    <t>Ge-83045</t>
  </si>
  <si>
    <t>Tm-13499</t>
  </si>
  <si>
    <t>KN-18531</t>
  </si>
  <si>
    <t>uK-58267</t>
  </si>
  <si>
    <t>wE-51962</t>
  </si>
  <si>
    <t>KN-55991</t>
  </si>
  <si>
    <t>zw-48048</t>
  </si>
  <si>
    <t>Yc-84645</t>
  </si>
  <si>
    <t>mc-61163</t>
  </si>
  <si>
    <t>hD-70589</t>
  </si>
  <si>
    <t>ob-95345</t>
  </si>
  <si>
    <t>XM-38289</t>
  </si>
  <si>
    <t>Tj-20245</t>
  </si>
  <si>
    <t>DI-02995</t>
  </si>
  <si>
    <t>pi-96174</t>
  </si>
  <si>
    <t>qT-39469</t>
  </si>
  <si>
    <t>no-32012</t>
  </si>
  <si>
    <t>kQ-14923</t>
  </si>
  <si>
    <t>rf-87675</t>
  </si>
  <si>
    <t>Yg-29747</t>
  </si>
  <si>
    <t>Uc-88979</t>
  </si>
  <si>
    <t>sK-58261</t>
  </si>
  <si>
    <t>yH-14243</t>
  </si>
  <si>
    <t>Ax-36480</t>
  </si>
  <si>
    <t>lq-86061</t>
  </si>
  <si>
    <t>lG-97762</t>
  </si>
  <si>
    <t>Pw-77557</t>
  </si>
  <si>
    <t>Ob-56937</t>
  </si>
  <si>
    <t>aQ-95933</t>
  </si>
  <si>
    <t>ca-56353</t>
  </si>
  <si>
    <t>um-49309</t>
  </si>
  <si>
    <t>20/08/18</t>
  </si>
  <si>
    <t>27/09/21</t>
  </si>
  <si>
    <t>23/03/25</t>
  </si>
  <si>
    <t>25/05/17</t>
  </si>
  <si>
    <t>N/A</t>
  </si>
  <si>
    <t>15/11/19</t>
  </si>
  <si>
    <t>24/09/21</t>
  </si>
  <si>
    <t>05/06/20</t>
  </si>
  <si>
    <t>19/07/19</t>
  </si>
  <si>
    <t>31/08/23</t>
  </si>
  <si>
    <t>03/02/22</t>
  </si>
  <si>
    <t>02/04/25</t>
  </si>
  <si>
    <t>29/03/23</t>
  </si>
  <si>
    <t>05/03/24</t>
  </si>
  <si>
    <t>31/01/23</t>
  </si>
  <si>
    <t>12/06/18</t>
  </si>
  <si>
    <t>30/10/16</t>
  </si>
  <si>
    <t>01/02/21</t>
  </si>
  <si>
    <t>20/08/24</t>
  </si>
  <si>
    <t>14/06/18</t>
  </si>
  <si>
    <t>25/02/19</t>
  </si>
  <si>
    <t>05/03/23</t>
  </si>
  <si>
    <t>31/10/16</t>
  </si>
  <si>
    <t>18/08/20</t>
  </si>
  <si>
    <t>14/02/23</t>
  </si>
  <si>
    <t>09/09/20</t>
  </si>
  <si>
    <t>21/12/25</t>
  </si>
  <si>
    <t>31/01/18</t>
  </si>
  <si>
    <t>09/01/23</t>
  </si>
  <si>
    <t>19/01/21</t>
  </si>
  <si>
    <t>14/12/22</t>
  </si>
  <si>
    <t>22/09/18</t>
  </si>
  <si>
    <t>02/07/17</t>
  </si>
  <si>
    <t>11/11/23</t>
  </si>
  <si>
    <t>30/04/21</t>
  </si>
  <si>
    <t>10/05/23</t>
  </si>
  <si>
    <t>03/08/24</t>
  </si>
  <si>
    <t>19/08/21</t>
  </si>
  <si>
    <t>16/01/17</t>
  </si>
  <si>
    <t>26/04/20</t>
  </si>
  <si>
    <t>17/08/22</t>
  </si>
  <si>
    <t>14/02/24</t>
  </si>
  <si>
    <t>25/12/22</t>
  </si>
  <si>
    <t>17/02/26</t>
  </si>
  <si>
    <t>04/08/18</t>
  </si>
  <si>
    <t>19/03/26</t>
  </si>
  <si>
    <t>17/02/22</t>
  </si>
  <si>
    <t>22/11/21</t>
  </si>
  <si>
    <t>18/05/21</t>
  </si>
  <si>
    <t>23/05/21</t>
  </si>
  <si>
    <t>05/02/17</t>
  </si>
  <si>
    <t>03/08/22</t>
  </si>
  <si>
    <t>03/07/22</t>
  </si>
  <si>
    <t>19/04/22</t>
  </si>
  <si>
    <t>13/04/26</t>
  </si>
  <si>
    <t>06/02/25</t>
  </si>
  <si>
    <t>25/11/21</t>
  </si>
  <si>
    <t>11/04/21</t>
  </si>
  <si>
    <t>05/04/22</t>
  </si>
  <si>
    <t>11/08/24</t>
  </si>
  <si>
    <t>11/08/19</t>
  </si>
  <si>
    <t>08/05/19</t>
  </si>
  <si>
    <t>22/02/20</t>
  </si>
  <si>
    <t>06/03/24</t>
  </si>
  <si>
    <t>25/05/19</t>
  </si>
  <si>
    <t>04/11/19</t>
  </si>
  <si>
    <t>17/05/17</t>
  </si>
  <si>
    <t>09/08/21</t>
  </si>
  <si>
    <t>08/06/21</t>
  </si>
  <si>
    <t>13/12/18</t>
  </si>
  <si>
    <t>08/10/22</t>
  </si>
  <si>
    <t>25/03/26</t>
  </si>
  <si>
    <t>27/03/19</t>
  </si>
  <si>
    <t>23/12/19</t>
  </si>
  <si>
    <t>29/06/21</t>
  </si>
  <si>
    <t>22/11/16</t>
  </si>
  <si>
    <t>02/05/26</t>
  </si>
  <si>
    <t>09/12/20</t>
  </si>
  <si>
    <t>23/09/22</t>
  </si>
  <si>
    <t>23/03/22</t>
  </si>
  <si>
    <t>25/02/17</t>
  </si>
  <si>
    <t>04/05/23</t>
  </si>
  <si>
    <t>18/03/25</t>
  </si>
  <si>
    <t>09/03/23</t>
  </si>
  <si>
    <t>07/09/22</t>
  </si>
  <si>
    <t>03/09/21</t>
  </si>
  <si>
    <t>30/03/22</t>
  </si>
  <si>
    <t>23/09/18</t>
  </si>
  <si>
    <t>23/04/26</t>
  </si>
  <si>
    <t>18/04/18</t>
  </si>
  <si>
    <t>16/05/18</t>
  </si>
  <si>
    <t>28/12/21</t>
  </si>
  <si>
    <t>13/11/24</t>
  </si>
  <si>
    <t>29/06/25</t>
  </si>
  <si>
    <t>26/11/24</t>
  </si>
  <si>
    <t>06/01/22</t>
  </si>
  <si>
    <t>15/09/25</t>
  </si>
  <si>
    <t>24/08/23</t>
  </si>
  <si>
    <t>27/07/26</t>
  </si>
  <si>
    <t>29/08/16</t>
  </si>
  <si>
    <t>19/02/21</t>
  </si>
  <si>
    <t>17/08/21</t>
  </si>
  <si>
    <t>20/10/19</t>
  </si>
  <si>
    <t>17/08/24</t>
  </si>
  <si>
    <t>13/04/22</t>
  </si>
  <si>
    <t>01/02/25</t>
  </si>
  <si>
    <t>10/02/21</t>
  </si>
  <si>
    <t>09/05/24</t>
  </si>
  <si>
    <t>24/07/20</t>
  </si>
  <si>
    <t>14/11/23</t>
  </si>
  <si>
    <t>03/10/20</t>
  </si>
  <si>
    <t>26/03/20</t>
  </si>
  <si>
    <t>13/04/24</t>
  </si>
  <si>
    <t>20/06/20</t>
  </si>
  <si>
    <t>12/11/16</t>
  </si>
  <si>
    <t>25/08/25</t>
  </si>
  <si>
    <t>05/05/26</t>
  </si>
  <si>
    <t>03/09/24</t>
  </si>
  <si>
    <t>01/11/19</t>
  </si>
  <si>
    <t>24/12/21</t>
  </si>
  <si>
    <t>19/02/26</t>
  </si>
  <si>
    <t>10/06/25</t>
  </si>
  <si>
    <t>28/11/23</t>
  </si>
  <si>
    <t>25/02/24</t>
  </si>
  <si>
    <t>13/01/23</t>
  </si>
  <si>
    <t>04/11/16</t>
  </si>
  <si>
    <t>26/05/17</t>
  </si>
  <si>
    <t>11/07/20</t>
  </si>
  <si>
    <t>26/05/26</t>
  </si>
  <si>
    <t>21/02/20</t>
  </si>
  <si>
    <t>29/10/25</t>
  </si>
  <si>
    <t>04/02/24</t>
  </si>
  <si>
    <t>28/08/17</t>
  </si>
  <si>
    <t>21/11/22</t>
  </si>
  <si>
    <t>19/02/24</t>
  </si>
  <si>
    <t>31/03/18</t>
  </si>
  <si>
    <t>10/02/26</t>
  </si>
  <si>
    <t>04/01/20</t>
  </si>
  <si>
    <t>30/04/20</t>
  </si>
  <si>
    <t>25/10/23</t>
  </si>
  <si>
    <t>27/06/22</t>
  </si>
  <si>
    <t>28/11/17</t>
  </si>
  <si>
    <t>12/06/25</t>
  </si>
  <si>
    <t>08/01/18</t>
  </si>
  <si>
    <t>03/11/25</t>
  </si>
  <si>
    <t>30/05/17</t>
  </si>
  <si>
    <t>26/02/25</t>
  </si>
  <si>
    <t>14/03/22</t>
  </si>
  <si>
    <t>07/03/22</t>
  </si>
  <si>
    <t>24/05/18</t>
  </si>
  <si>
    <t>02/09/20</t>
  </si>
  <si>
    <t>06/02/18</t>
  </si>
  <si>
    <t>26/10/16</t>
  </si>
  <si>
    <t>06/02/20</t>
  </si>
  <si>
    <t>08/05/22</t>
  </si>
  <si>
    <t>07/05/26</t>
  </si>
  <si>
    <t>13/09/16</t>
  </si>
  <si>
    <t>01/08/19</t>
  </si>
  <si>
    <t>27/07/20</t>
  </si>
  <si>
    <t>14/08/22</t>
  </si>
  <si>
    <t>17/06/21</t>
  </si>
  <si>
    <t>20/12/19</t>
  </si>
  <si>
    <t>15/02/23</t>
  </si>
  <si>
    <t>14/03/24</t>
  </si>
  <si>
    <t>02/05/24</t>
  </si>
  <si>
    <t>27/09/22</t>
  </si>
  <si>
    <t>29/11/23</t>
  </si>
  <si>
    <t>04/07/23</t>
  </si>
  <si>
    <t>05/05/24</t>
  </si>
  <si>
    <t>20/12/23</t>
  </si>
  <si>
    <t>05/04/21</t>
  </si>
  <si>
    <t>05/04/17</t>
  </si>
  <si>
    <t>31/12/25</t>
  </si>
  <si>
    <t>24/07/24</t>
  </si>
  <si>
    <t>04/12/21</t>
  </si>
  <si>
    <t>25/01/23</t>
  </si>
  <si>
    <t>20/09/25</t>
  </si>
  <si>
    <t>29/02/20</t>
  </si>
  <si>
    <t>09/05/17</t>
  </si>
  <si>
    <t>05/06/26</t>
  </si>
  <si>
    <t>05/01/19</t>
  </si>
  <si>
    <t>26/08/23</t>
  </si>
  <si>
    <t>21/03/20</t>
  </si>
  <si>
    <t>07/02/26</t>
  </si>
  <si>
    <t>06/12/19</t>
  </si>
  <si>
    <t>25/07/18</t>
  </si>
  <si>
    <t>31/10/18</t>
  </si>
  <si>
    <t>15/06/22</t>
  </si>
  <si>
    <t>25/09/17</t>
  </si>
  <si>
    <t>12/06/17</t>
  </si>
  <si>
    <t>09/10/16</t>
  </si>
  <si>
    <t>02/05/25</t>
  </si>
  <si>
    <t>25/04/18</t>
  </si>
  <si>
    <t>06/10/16</t>
  </si>
  <si>
    <t>11/01/22</t>
  </si>
  <si>
    <t>06/03/18</t>
  </si>
  <si>
    <t>22/12/20</t>
  </si>
  <si>
    <t>17/04/22</t>
  </si>
  <si>
    <t>23/02/18</t>
  </si>
  <si>
    <t>09/11/22</t>
  </si>
  <si>
    <t>23/08/23</t>
  </si>
  <si>
    <t>15/08/23</t>
  </si>
  <si>
    <t>30/09/19</t>
  </si>
  <si>
    <t>30/08/16</t>
  </si>
  <si>
    <t>04/03/20</t>
  </si>
  <si>
    <t>17/07/18</t>
  </si>
  <si>
    <t>22/11/25</t>
  </si>
  <si>
    <t>19/03/25</t>
  </si>
  <si>
    <t>12/10/20</t>
  </si>
  <si>
    <t>15/07/19</t>
  </si>
  <si>
    <t>25/08/19</t>
  </si>
  <si>
    <t>15/07/25</t>
  </si>
  <si>
    <t>24/01/25</t>
  </si>
  <si>
    <t>28/01/19</t>
  </si>
  <si>
    <t>04/08/19</t>
  </si>
  <si>
    <t>19/11/19</t>
  </si>
  <si>
    <t>16/12/20</t>
  </si>
  <si>
    <t>22/09/19</t>
  </si>
  <si>
    <t>28/02/26</t>
  </si>
  <si>
    <t>03/12/17</t>
  </si>
  <si>
    <t>17/09/16</t>
  </si>
  <si>
    <t>06/11/24</t>
  </si>
  <si>
    <t>10/01/22</t>
  </si>
  <si>
    <t>02/12/19</t>
  </si>
  <si>
    <t>12/08/20</t>
  </si>
  <si>
    <t>02/09/24</t>
  </si>
  <si>
    <t>09/10/22</t>
  </si>
  <si>
    <t>30/11/22</t>
  </si>
  <si>
    <t>29/12/25</t>
  </si>
  <si>
    <t>25/01/24</t>
  </si>
  <si>
    <t>30/12/17</t>
  </si>
  <si>
    <t>10/09/19</t>
  </si>
  <si>
    <t>13/10/24</t>
  </si>
  <si>
    <t>26/09/19</t>
  </si>
  <si>
    <t>05/04/26</t>
  </si>
  <si>
    <t>01/07/23</t>
  </si>
  <si>
    <t>18/08/25</t>
  </si>
  <si>
    <t>23/07/22</t>
  </si>
  <si>
    <t>08/08/16</t>
  </si>
  <si>
    <t>29/01/23</t>
  </si>
  <si>
    <t>25/03/17</t>
  </si>
  <si>
    <t>10/11/18</t>
  </si>
  <si>
    <t>01/09/25</t>
  </si>
  <si>
    <t>26/10/24</t>
  </si>
  <si>
    <t>08/06/19</t>
  </si>
  <si>
    <t>26/06/20</t>
  </si>
  <si>
    <t>02/03/17</t>
  </si>
  <si>
    <t>20/01/19</t>
  </si>
  <si>
    <t>09/03/18</t>
  </si>
  <si>
    <t>17/03/18</t>
  </si>
  <si>
    <t>22/05/24</t>
  </si>
  <si>
    <t>25/02/25</t>
  </si>
  <si>
    <t>24/08/20</t>
  </si>
  <si>
    <t>09/11/16</t>
  </si>
  <si>
    <t>22/06/17</t>
  </si>
  <si>
    <t>11/06/26</t>
  </si>
  <si>
    <t>11/05/22</t>
  </si>
  <si>
    <t>23/04/19</t>
  </si>
  <si>
    <t>07/08/22</t>
  </si>
  <si>
    <t>20/12/25</t>
  </si>
  <si>
    <t>07/10/21</t>
  </si>
  <si>
    <t>10/10/25</t>
  </si>
  <si>
    <t>28/08/22</t>
  </si>
  <si>
    <t>10/03/21</t>
  </si>
  <si>
    <t>03/09/20</t>
  </si>
  <si>
    <t>05/05/19</t>
  </si>
  <si>
    <t>23/05/25</t>
  </si>
  <si>
    <t>27/06/24</t>
  </si>
  <si>
    <t>14/09/21</t>
  </si>
  <si>
    <t>05/12/24</t>
  </si>
  <si>
    <t>29/11/17</t>
  </si>
  <si>
    <t>06/08/17</t>
  </si>
  <si>
    <t>14/04/23</t>
  </si>
  <si>
    <t>14/02/26</t>
  </si>
  <si>
    <t>21/04/18</t>
  </si>
  <si>
    <t>14/04/19</t>
  </si>
  <si>
    <t>16/06/23</t>
  </si>
  <si>
    <t>03/06/17</t>
  </si>
  <si>
    <t>06/10/21</t>
  </si>
  <si>
    <t>15/03/24</t>
  </si>
  <si>
    <t>07/01/26</t>
  </si>
  <si>
    <t>24/08/17</t>
  </si>
  <si>
    <t>18/08/22</t>
  </si>
  <si>
    <t>13/11/19</t>
  </si>
  <si>
    <t>03/03/21</t>
  </si>
  <si>
    <t>19/04/26</t>
  </si>
  <si>
    <t>11/06/19</t>
  </si>
  <si>
    <t>20/04/17</t>
  </si>
  <si>
    <t>04/07/24</t>
  </si>
  <si>
    <t>27/12/24</t>
  </si>
  <si>
    <t>16/08/25</t>
  </si>
  <si>
    <t>15/12/20</t>
  </si>
  <si>
    <t>14/09/25</t>
  </si>
  <si>
    <t>08/06/22</t>
  </si>
  <si>
    <t>06/03/23</t>
  </si>
  <si>
    <t>23/07/17</t>
  </si>
  <si>
    <t>22/06/26</t>
  </si>
  <si>
    <t>16/01/19</t>
  </si>
  <si>
    <t>03/05/19</t>
  </si>
  <si>
    <t>19/08/25</t>
  </si>
  <si>
    <t>15/07/26</t>
  </si>
  <si>
    <t>16/09/24</t>
  </si>
  <si>
    <t>09/09/25</t>
  </si>
  <si>
    <t>24/10/16</t>
  </si>
  <si>
    <t>24/08/18</t>
  </si>
  <si>
    <t>29/05/26</t>
  </si>
  <si>
    <t>16/04/22</t>
  </si>
  <si>
    <t>26/07/22</t>
  </si>
  <si>
    <t>14/04/24</t>
  </si>
  <si>
    <t>02/07/26</t>
  </si>
  <si>
    <t>09/05/25</t>
  </si>
  <si>
    <t>17/03/26</t>
  </si>
  <si>
    <t>06/05/18</t>
  </si>
  <si>
    <t>13/11/20</t>
  </si>
  <si>
    <t>15/06/21</t>
  </si>
  <si>
    <t>06/08/24</t>
  </si>
  <si>
    <t>14/05/26</t>
  </si>
  <si>
    <t>19/07/25</t>
  </si>
  <si>
    <t>04/09/16</t>
  </si>
  <si>
    <t>30/12/18</t>
  </si>
  <si>
    <t>05/02/24</t>
  </si>
  <si>
    <t>01/07/19</t>
  </si>
  <si>
    <t>19/05/21</t>
  </si>
  <si>
    <t>31/10/23</t>
  </si>
  <si>
    <t>27/08/24</t>
  </si>
  <si>
    <t>19/07/24</t>
  </si>
  <si>
    <t>03/06/18</t>
  </si>
  <si>
    <t>28/05/23</t>
  </si>
  <si>
    <t>27/04/26</t>
  </si>
  <si>
    <t>13/08/21</t>
  </si>
  <si>
    <t>10/01/17</t>
  </si>
  <si>
    <t>30/11/25</t>
  </si>
  <si>
    <t>24/12/24</t>
  </si>
  <si>
    <t>24/02/23</t>
  </si>
  <si>
    <t>27/02/17</t>
  </si>
  <si>
    <t>24/01/20</t>
  </si>
  <si>
    <t>30/12/21</t>
  </si>
  <si>
    <t>01/01/26</t>
  </si>
  <si>
    <t>13/07/24</t>
  </si>
  <si>
    <t>28/02/19</t>
  </si>
  <si>
    <t>25/06/23</t>
  </si>
  <si>
    <t>28/09/24</t>
  </si>
  <si>
    <t>09/02/24</t>
  </si>
  <si>
    <t>10/01/21</t>
  </si>
  <si>
    <t>06/01/23</t>
  </si>
  <si>
    <t>26/05/24</t>
  </si>
  <si>
    <t>23/04/25</t>
  </si>
  <si>
    <t>23/05/18</t>
  </si>
  <si>
    <t>23/08/25</t>
  </si>
  <si>
    <t>06/04/23</t>
  </si>
  <si>
    <t>11/03/21</t>
  </si>
  <si>
    <t>16/10/23</t>
  </si>
  <si>
    <t>01/10/22</t>
  </si>
  <si>
    <t>29/01/21</t>
  </si>
  <si>
    <t>22/02/24</t>
  </si>
  <si>
    <t>20/02/23</t>
  </si>
  <si>
    <t>24/10/24</t>
  </si>
  <si>
    <t>09/12/18</t>
  </si>
  <si>
    <t>13/04/17</t>
  </si>
  <si>
    <t>29/12/17</t>
  </si>
  <si>
    <t>04/04/23</t>
  </si>
  <si>
    <t>07/03/25</t>
  </si>
  <si>
    <t>04/12/23</t>
  </si>
  <si>
    <t>30/05/23</t>
  </si>
  <si>
    <t>10/02/18</t>
  </si>
  <si>
    <t>27/05/24</t>
  </si>
  <si>
    <t>04/06/19</t>
  </si>
  <si>
    <t>08/01/21</t>
  </si>
  <si>
    <t>29/04/21</t>
  </si>
  <si>
    <t>10/10/19</t>
  </si>
  <si>
    <t>22/07/20</t>
  </si>
  <si>
    <t>12/06/21</t>
  </si>
  <si>
    <t>27/01/25</t>
  </si>
  <si>
    <t>13/01/21</t>
  </si>
  <si>
    <t>21/06/18</t>
  </si>
  <si>
    <t>04/02/21</t>
  </si>
  <si>
    <t>02/04/17</t>
  </si>
  <si>
    <t>30/12/24</t>
  </si>
  <si>
    <t>12/03/18</t>
  </si>
  <si>
    <t>20/11/18</t>
  </si>
  <si>
    <t>06/05/21</t>
  </si>
  <si>
    <t>14/01/23</t>
  </si>
  <si>
    <t>10/04/18</t>
  </si>
  <si>
    <t>18/02/26</t>
  </si>
  <si>
    <t>12/11/21</t>
  </si>
  <si>
    <t>17/11/21</t>
  </si>
  <si>
    <t>01/09/19</t>
  </si>
  <si>
    <t>05/03/21</t>
  </si>
  <si>
    <t>12/10/21</t>
  </si>
  <si>
    <t>29/04/18</t>
  </si>
  <si>
    <t>16/12/25</t>
  </si>
  <si>
    <t>04/12/17</t>
  </si>
  <si>
    <t>18/09/18</t>
  </si>
  <si>
    <t>26/09/21</t>
  </si>
  <si>
    <t>06/04/22</t>
  </si>
  <si>
    <t>13/05/18</t>
  </si>
  <si>
    <t>08/12/20</t>
  </si>
  <si>
    <t>07/09/20</t>
  </si>
  <si>
    <t>28/04/17</t>
  </si>
  <si>
    <t>05/01/17</t>
  </si>
  <si>
    <t>16/01/23</t>
  </si>
  <si>
    <t>25/07/20</t>
  </si>
  <si>
    <t>11/02/24</t>
  </si>
  <si>
    <t>23/05/20</t>
  </si>
  <si>
    <t>28/09/21</t>
  </si>
  <si>
    <t>07/01/24</t>
  </si>
  <si>
    <t>28/01/22</t>
  </si>
  <si>
    <t>16/09/16</t>
  </si>
  <si>
    <t>09/04/21</t>
  </si>
  <si>
    <t>09/01/17</t>
  </si>
  <si>
    <t>15/08/20</t>
  </si>
  <si>
    <t>03/09/18</t>
  </si>
  <si>
    <t>08/07/22</t>
  </si>
  <si>
    <t>09/08/19</t>
  </si>
  <si>
    <t>07/07/25</t>
  </si>
  <si>
    <t>21/06/25</t>
  </si>
  <si>
    <t>07/06/18</t>
  </si>
  <si>
    <t>18/05/22</t>
  </si>
  <si>
    <t>10/07/20</t>
  </si>
  <si>
    <t>31/03/24</t>
  </si>
  <si>
    <t>29/03/25</t>
  </si>
  <si>
    <t>19/02/17</t>
  </si>
  <si>
    <t>16/08/16</t>
  </si>
  <si>
    <t>05/09/23</t>
  </si>
  <si>
    <t>01/10/18</t>
  </si>
  <si>
    <t>03/06/26</t>
  </si>
  <si>
    <t>09/05/18</t>
  </si>
  <si>
    <t>05/10/16</t>
  </si>
  <si>
    <t>24/08/16</t>
  </si>
  <si>
    <t>04/10/24</t>
  </si>
  <si>
    <t>04/04/19</t>
  </si>
  <si>
    <t>26/02/19</t>
  </si>
  <si>
    <t>23/10/21</t>
  </si>
  <si>
    <t>27/06/17</t>
  </si>
  <si>
    <t>30/07/23</t>
  </si>
  <si>
    <t>13/03/26</t>
  </si>
  <si>
    <t>24/09/25</t>
  </si>
  <si>
    <t>03/11/17</t>
  </si>
  <si>
    <t>01/09/23</t>
  </si>
  <si>
    <t>04/07/19</t>
  </si>
  <si>
    <t>20/08/16</t>
  </si>
  <si>
    <t>02/08/25</t>
  </si>
  <si>
    <t>26/04/25</t>
  </si>
  <si>
    <t>24/06/18</t>
  </si>
  <si>
    <t>01/12/18</t>
  </si>
  <si>
    <t>18/09/21</t>
  </si>
  <si>
    <t>03/12/20</t>
  </si>
  <si>
    <t>20/09/17</t>
  </si>
  <si>
    <t>28/02/24</t>
  </si>
  <si>
    <t>02/09/22</t>
  </si>
  <si>
    <t>27/01/20</t>
  </si>
  <si>
    <t>29/04/23</t>
  </si>
  <si>
    <t>25/09/24</t>
  </si>
  <si>
    <t>26/01/24</t>
  </si>
  <si>
    <t>21/11/23</t>
  </si>
  <si>
    <t>17/03/19</t>
  </si>
  <si>
    <t>12/08/16</t>
  </si>
  <si>
    <t>25/11/25</t>
  </si>
  <si>
    <t>04/02/23</t>
  </si>
  <si>
    <t>15/04/17</t>
  </si>
  <si>
    <t>12/03/20</t>
  </si>
  <si>
    <t>22/09/24</t>
  </si>
  <si>
    <t>08/11/22</t>
  </si>
  <si>
    <t>16/07/26</t>
  </si>
  <si>
    <t>22/07/19</t>
  </si>
  <si>
    <t>14/01/18</t>
  </si>
  <si>
    <t>28/06/25</t>
  </si>
  <si>
    <t>24/04/18</t>
  </si>
  <si>
    <t>02/03/18</t>
  </si>
  <si>
    <t>02/09/25</t>
  </si>
  <si>
    <t>16/10/19</t>
  </si>
  <si>
    <t>19/05/17</t>
  </si>
  <si>
    <t>12/06/24</t>
  </si>
  <si>
    <t>08/07/20</t>
  </si>
  <si>
    <t>02/06/19</t>
  </si>
  <si>
    <t>22/01/19</t>
  </si>
  <si>
    <t>24/05/26</t>
  </si>
  <si>
    <t>17/02/25</t>
  </si>
  <si>
    <t>23/03/18</t>
  </si>
  <si>
    <t>08/05/23</t>
  </si>
  <si>
    <t>27/02/26</t>
  </si>
  <si>
    <t>24/09/20</t>
  </si>
  <si>
    <t>05/06/19</t>
  </si>
  <si>
    <t>09/10/17</t>
  </si>
  <si>
    <t>10/06/23</t>
  </si>
  <si>
    <t>21/07/20</t>
  </si>
  <si>
    <t>22/04/22</t>
  </si>
  <si>
    <t>02/05/18</t>
  </si>
  <si>
    <t>18/11/17</t>
  </si>
  <si>
    <t>13/03/21</t>
  </si>
  <si>
    <t>18/11/20</t>
  </si>
  <si>
    <t>08/09/24</t>
  </si>
  <si>
    <t>26/07/26</t>
  </si>
  <si>
    <t>28/10/22</t>
  </si>
  <si>
    <t>28/06/26</t>
  </si>
  <si>
    <t>15/01/17</t>
  </si>
  <si>
    <t>11/10/18</t>
  </si>
  <si>
    <t>21/10/24</t>
  </si>
  <si>
    <t>05/08/24</t>
  </si>
  <si>
    <t>10/02/19</t>
  </si>
  <si>
    <t>24/10/23</t>
  </si>
  <si>
    <t>07/07/19</t>
  </si>
  <si>
    <t>12/12/24</t>
  </si>
  <si>
    <t>22/07/21</t>
  </si>
  <si>
    <t>18/07/17</t>
  </si>
  <si>
    <t>25/10/25</t>
  </si>
  <si>
    <t>11/02/20</t>
  </si>
  <si>
    <t>21/03/21</t>
  </si>
  <si>
    <t>19/05/20</t>
  </si>
  <si>
    <t>31/07/25</t>
  </si>
  <si>
    <t>25/06/20</t>
  </si>
  <si>
    <t>28/08/21</t>
  </si>
  <si>
    <t>03/08/21</t>
  </si>
  <si>
    <t>01/05/23</t>
  </si>
  <si>
    <t>17/03/24</t>
  </si>
  <si>
    <t>25/10/21</t>
  </si>
  <si>
    <t>06/11/18</t>
  </si>
  <si>
    <t>13/12/24</t>
  </si>
  <si>
    <t>29/05/20</t>
  </si>
  <si>
    <t>23/10/20</t>
  </si>
  <si>
    <t>07/02/25</t>
  </si>
  <si>
    <t>09/10/21</t>
  </si>
  <si>
    <t>28/04/21</t>
  </si>
  <si>
    <t>19/07/21</t>
  </si>
  <si>
    <t>29/08/19</t>
  </si>
  <si>
    <t>17/07/21</t>
  </si>
  <si>
    <t>16/11/19</t>
  </si>
  <si>
    <t>27/08/17</t>
  </si>
  <si>
    <t>24/07/18</t>
  </si>
  <si>
    <t>08/08/22</t>
  </si>
  <si>
    <t>11/07/22</t>
  </si>
  <si>
    <t>06/01/24</t>
  </si>
  <si>
    <t>22/02/26</t>
  </si>
  <si>
    <t>13/11/16</t>
  </si>
  <si>
    <t>14/06/26</t>
  </si>
  <si>
    <t>02/01/17</t>
  </si>
  <si>
    <t>23/11/21</t>
  </si>
  <si>
    <t>31/07/21</t>
  </si>
  <si>
    <t>13/06/18</t>
  </si>
  <si>
    <t>16/08/18</t>
  </si>
  <si>
    <t>12/12/18</t>
  </si>
  <si>
    <t>13/09/25</t>
  </si>
  <si>
    <t>08/01/20</t>
  </si>
  <si>
    <t>23/01/26</t>
  </si>
  <si>
    <t>02/08/19</t>
  </si>
  <si>
    <t>21/05/23</t>
  </si>
  <si>
    <t>05/05/20</t>
  </si>
  <si>
    <t>16/07/20</t>
  </si>
  <si>
    <t>30/06/19</t>
  </si>
  <si>
    <t>06/01/20</t>
  </si>
  <si>
    <t>11/01/17</t>
  </si>
  <si>
    <t>01/10/21</t>
  </si>
  <si>
    <t>26/04/19</t>
  </si>
  <si>
    <t>02/01/18</t>
  </si>
  <si>
    <t>06/11/23</t>
  </si>
  <si>
    <t>02/04/18</t>
  </si>
  <si>
    <t>17/07/22</t>
  </si>
  <si>
    <t>08/02/23</t>
  </si>
  <si>
    <t>20/03/22</t>
  </si>
  <si>
    <t>14/08/24</t>
  </si>
  <si>
    <t>20/08/20</t>
  </si>
  <si>
    <t>31/08/16</t>
  </si>
  <si>
    <t>21/09/21</t>
  </si>
  <si>
    <t>15/07/22</t>
  </si>
  <si>
    <t>13/02/26</t>
  </si>
  <si>
    <t>13/12/23</t>
  </si>
  <si>
    <t>12/04/22</t>
  </si>
  <si>
    <t>07/12/16</t>
  </si>
  <si>
    <t>10/11/21</t>
  </si>
  <si>
    <t>22/03/21</t>
  </si>
  <si>
    <t>20/01/21</t>
  </si>
  <si>
    <t>22/02/23</t>
  </si>
  <si>
    <t>22/09/22</t>
  </si>
  <si>
    <t>05/07/21</t>
  </si>
  <si>
    <t>29/08/23</t>
  </si>
  <si>
    <t>12/12/16</t>
  </si>
  <si>
    <t>21/04/17</t>
  </si>
  <si>
    <t>19/01/20</t>
  </si>
  <si>
    <t>13/07/19</t>
  </si>
  <si>
    <t>16/10/22</t>
  </si>
  <si>
    <t>19/03/23</t>
  </si>
  <si>
    <t>16/11/21</t>
  </si>
  <si>
    <t>11/04/22</t>
  </si>
  <si>
    <t>24/11/24</t>
  </si>
  <si>
    <t>13/12/21</t>
  </si>
  <si>
    <t>10/09/23</t>
  </si>
  <si>
    <t>22/12/16</t>
  </si>
  <si>
    <t>11/05/18</t>
  </si>
  <si>
    <t>13/02/21</t>
  </si>
  <si>
    <t>22/06/21</t>
  </si>
  <si>
    <t>27/03/21</t>
  </si>
  <si>
    <t>20/01/25</t>
  </si>
  <si>
    <t>28/05/17</t>
  </si>
  <si>
    <t>14/03/17</t>
  </si>
  <si>
    <t>07/02/17</t>
  </si>
  <si>
    <t>16/06/25</t>
  </si>
  <si>
    <t>12/02/24</t>
  </si>
  <si>
    <t>01/06/18</t>
  </si>
  <si>
    <t>30/09/22</t>
  </si>
  <si>
    <t>10/12/23</t>
  </si>
  <si>
    <t>01/04/26</t>
  </si>
  <si>
    <t>03/11/19</t>
  </si>
  <si>
    <t>24/11/20</t>
  </si>
  <si>
    <t>22/03/17</t>
  </si>
  <si>
    <t>07/08/19</t>
  </si>
  <si>
    <t>17/11/24</t>
  </si>
  <si>
    <t>11/07/17</t>
  </si>
  <si>
    <t>09/02/18</t>
  </si>
  <si>
    <t>06/07/21</t>
  </si>
  <si>
    <t>17/01/18</t>
  </si>
  <si>
    <t>25/07/17</t>
  </si>
  <si>
    <t>05/09/16</t>
  </si>
  <si>
    <t>21/04/24</t>
  </si>
  <si>
    <t>27/08/21</t>
  </si>
  <si>
    <t>17/02/21</t>
  </si>
  <si>
    <t>28/09/25</t>
  </si>
  <si>
    <t>08/08/20</t>
  </si>
  <si>
    <t>25/04/24</t>
  </si>
  <si>
    <t>25/12/16</t>
  </si>
  <si>
    <t>19/01/19</t>
  </si>
  <si>
    <t>18/01/21</t>
  </si>
  <si>
    <t>09/02/26</t>
  </si>
  <si>
    <t>27/02/21</t>
  </si>
  <si>
    <t>07/12/19</t>
  </si>
  <si>
    <t>24/11/21</t>
  </si>
  <si>
    <t>09/09/18</t>
  </si>
  <si>
    <t>08/05/18</t>
  </si>
  <si>
    <t>27/01/26</t>
  </si>
  <si>
    <t>13/07/17</t>
  </si>
  <si>
    <t>14/05/17</t>
  </si>
  <si>
    <t>13/05/22</t>
  </si>
  <si>
    <t>14/09/18</t>
  </si>
  <si>
    <t>08/03/19</t>
  </si>
  <si>
    <t>15/06/24</t>
  </si>
  <si>
    <t>07/08/18</t>
  </si>
  <si>
    <t>13/05/23</t>
  </si>
  <si>
    <t>27/12/20</t>
  </si>
  <si>
    <t>10/12/18</t>
  </si>
  <si>
    <t>N</t>
  </si>
  <si>
    <t>Y</t>
  </si>
  <si>
    <t>Corporate_ID</t>
  </si>
  <si>
    <t>Corporate Name</t>
  </si>
  <si>
    <t>Nature of Business</t>
  </si>
  <si>
    <t>RC Number</t>
  </si>
  <si>
    <t>Date of Incorporation</t>
  </si>
  <si>
    <t>COR-0001</t>
  </si>
  <si>
    <t>COR-0002</t>
  </si>
  <si>
    <t>COR-0003</t>
  </si>
  <si>
    <t>COR-0004</t>
  </si>
  <si>
    <t>COR-0005</t>
  </si>
  <si>
    <t>COR-0006</t>
  </si>
  <si>
    <t>COR-0007</t>
  </si>
  <si>
    <t>COR-0008</t>
  </si>
  <si>
    <t>COR-0009</t>
  </si>
  <si>
    <t>COR-0010</t>
  </si>
  <si>
    <t>COR-0011</t>
  </si>
  <si>
    <t>COR-0012</t>
  </si>
  <si>
    <t>COR-0013</t>
  </si>
  <si>
    <t>COR-0014</t>
  </si>
  <si>
    <t>COR-0015</t>
  </si>
  <si>
    <t>COR-0016</t>
  </si>
  <si>
    <t>COR-0017</t>
  </si>
  <si>
    <t>COR-0018</t>
  </si>
  <si>
    <t>COR-0019</t>
  </si>
  <si>
    <t>COR-0020</t>
  </si>
  <si>
    <t>COR-0021</t>
  </si>
  <si>
    <t>COR-0022</t>
  </si>
  <si>
    <t>COR-0023</t>
  </si>
  <si>
    <t>COR-0024</t>
  </si>
  <si>
    <t>COR-0025</t>
  </si>
  <si>
    <t>COR-0026</t>
  </si>
  <si>
    <t>COR-0027</t>
  </si>
  <si>
    <t>COR-0028</t>
  </si>
  <si>
    <t>COR-0029</t>
  </si>
  <si>
    <t>COR-0030</t>
  </si>
  <si>
    <t>COR-0031</t>
  </si>
  <si>
    <t>COR-0032</t>
  </si>
  <si>
    <t>COR-0033</t>
  </si>
  <si>
    <t>COR-0034</t>
  </si>
  <si>
    <t>COR-0035</t>
  </si>
  <si>
    <t>COR-0036</t>
  </si>
  <si>
    <t>COR-0037</t>
  </si>
  <si>
    <t>COR-0038</t>
  </si>
  <si>
    <t>COR-0039</t>
  </si>
  <si>
    <t>COR-0040</t>
  </si>
  <si>
    <t>COR-0041</t>
  </si>
  <si>
    <t>COR-0042</t>
  </si>
  <si>
    <t>COR-0043</t>
  </si>
  <si>
    <t>COR-0044</t>
  </si>
  <si>
    <t>COR-0045</t>
  </si>
  <si>
    <t>COR-0046</t>
  </si>
  <si>
    <t>COR-0047</t>
  </si>
  <si>
    <t>COR-0048</t>
  </si>
  <si>
    <t>COR-0049</t>
  </si>
  <si>
    <t>COR-0050</t>
  </si>
  <si>
    <t>COR-0051</t>
  </si>
  <si>
    <t>COR-0052</t>
  </si>
  <si>
    <t>COR-0053</t>
  </si>
  <si>
    <t>COR-0054</t>
  </si>
  <si>
    <t>COR-0055</t>
  </si>
  <si>
    <t>COR-0056</t>
  </si>
  <si>
    <t>COR-0057</t>
  </si>
  <si>
    <t>COR-0058</t>
  </si>
  <si>
    <t>COR-0059</t>
  </si>
  <si>
    <t>COR-0060</t>
  </si>
  <si>
    <t>COR-0061</t>
  </si>
  <si>
    <t>COR-0062</t>
  </si>
  <si>
    <t>COR-0063</t>
  </si>
  <si>
    <t>COR-0064</t>
  </si>
  <si>
    <t>COR-0065</t>
  </si>
  <si>
    <t>COR-0066</t>
  </si>
  <si>
    <t>COR-0067</t>
  </si>
  <si>
    <t>COR-0068</t>
  </si>
  <si>
    <t>COR-0069</t>
  </si>
  <si>
    <t>COR-0070</t>
  </si>
  <si>
    <t>COR-0071</t>
  </si>
  <si>
    <t>COR-0072</t>
  </si>
  <si>
    <t>COR-0073</t>
  </si>
  <si>
    <t>COR-0074</t>
  </si>
  <si>
    <t>COR-0075</t>
  </si>
  <si>
    <t>COR-0076</t>
  </si>
  <si>
    <t>COR-0077</t>
  </si>
  <si>
    <t>COR-0078</t>
  </si>
  <si>
    <t>COR-0079</t>
  </si>
  <si>
    <t>COR-0080</t>
  </si>
  <si>
    <t>COR-0081</t>
  </si>
  <si>
    <t>COR-0082</t>
  </si>
  <si>
    <t>COR-0083</t>
  </si>
  <si>
    <t>COR-0084</t>
  </si>
  <si>
    <t>COR-0085</t>
  </si>
  <si>
    <t>COR-0086</t>
  </si>
  <si>
    <t>COR-0087</t>
  </si>
  <si>
    <t>COR-0088</t>
  </si>
  <si>
    <t>COR-0089</t>
  </si>
  <si>
    <t>COR-0090</t>
  </si>
  <si>
    <t>COR-0091</t>
  </si>
  <si>
    <t>COR-0092</t>
  </si>
  <si>
    <t>COR-0093</t>
  </si>
  <si>
    <t>COR-0094</t>
  </si>
  <si>
    <t>COR-0095</t>
  </si>
  <si>
    <t>COR-0096</t>
  </si>
  <si>
    <t>COR-0097</t>
  </si>
  <si>
    <t>COR-0098</t>
  </si>
  <si>
    <t>COR-0099</t>
  </si>
  <si>
    <t>COR-0100</t>
  </si>
  <si>
    <t>COR-0101</t>
  </si>
  <si>
    <t>COR-0102</t>
  </si>
  <si>
    <t>COR-0103</t>
  </si>
  <si>
    <t>COR-0104</t>
  </si>
  <si>
    <t>COR-0105</t>
  </si>
  <si>
    <t>COR-0106</t>
  </si>
  <si>
    <t>COR-0107</t>
  </si>
  <si>
    <t>COR-0108</t>
  </si>
  <si>
    <t>COR-0109</t>
  </si>
  <si>
    <t>COR-0110</t>
  </si>
  <si>
    <t>COR-0111</t>
  </si>
  <si>
    <t>COR-0112</t>
  </si>
  <si>
    <t>COR-0113</t>
  </si>
  <si>
    <t>COR-0114</t>
  </si>
  <si>
    <t>COR-0115</t>
  </si>
  <si>
    <t>COR-0116</t>
  </si>
  <si>
    <t>COR-0117</t>
  </si>
  <si>
    <t>COR-0118</t>
  </si>
  <si>
    <t>COR-0119</t>
  </si>
  <si>
    <t>COR-0120</t>
  </si>
  <si>
    <t>COR-0121</t>
  </si>
  <si>
    <t>COR-0122</t>
  </si>
  <si>
    <t>COR-0123</t>
  </si>
  <si>
    <t>COR-0124</t>
  </si>
  <si>
    <t>COR-0125</t>
  </si>
  <si>
    <t>COR-0126</t>
  </si>
  <si>
    <t>COR-0127</t>
  </si>
  <si>
    <t>COR-0128</t>
  </si>
  <si>
    <t>COR-0129</t>
  </si>
  <si>
    <t>COR-0130</t>
  </si>
  <si>
    <t>COR-0131</t>
  </si>
  <si>
    <t>COR-0132</t>
  </si>
  <si>
    <t>COR-0133</t>
  </si>
  <si>
    <t>COR-0134</t>
  </si>
  <si>
    <t>COR-0135</t>
  </si>
  <si>
    <t>COR-0136</t>
  </si>
  <si>
    <t>COR-0137</t>
  </si>
  <si>
    <t>COR-0138</t>
  </si>
  <si>
    <t>COR-0139</t>
  </si>
  <si>
    <t>COR-0140</t>
  </si>
  <si>
    <t>COR-0141</t>
  </si>
  <si>
    <t>COR-0142</t>
  </si>
  <si>
    <t>COR-0143</t>
  </si>
  <si>
    <t>COR-0144</t>
  </si>
  <si>
    <t>COR-0145</t>
  </si>
  <si>
    <t>COR-0146</t>
  </si>
  <si>
    <t>COR-0147</t>
  </si>
  <si>
    <t>COR-0148</t>
  </si>
  <si>
    <t>COR-0149</t>
  </si>
  <si>
    <t>COR-0150</t>
  </si>
  <si>
    <t>COR-0151</t>
  </si>
  <si>
    <t>COR-0152</t>
  </si>
  <si>
    <t>COR-0153</t>
  </si>
  <si>
    <t>COR-0154</t>
  </si>
  <si>
    <t>COR-0155</t>
  </si>
  <si>
    <t>COR-0156</t>
  </si>
  <si>
    <t>COR-0157</t>
  </si>
  <si>
    <t>COR-0158</t>
  </si>
  <si>
    <t>COR-0159</t>
  </si>
  <si>
    <t>COR-0160</t>
  </si>
  <si>
    <t>COR-0161</t>
  </si>
  <si>
    <t>COR-0162</t>
  </si>
  <si>
    <t>COR-0163</t>
  </si>
  <si>
    <t>COR-0164</t>
  </si>
  <si>
    <t>COR-0165</t>
  </si>
  <si>
    <t>COR-0166</t>
  </si>
  <si>
    <t>COR-0167</t>
  </si>
  <si>
    <t>COR-0168</t>
  </si>
  <si>
    <t>COR-0169</t>
  </si>
  <si>
    <t>COR-0170</t>
  </si>
  <si>
    <t>COR-0171</t>
  </si>
  <si>
    <t>COR-0172</t>
  </si>
  <si>
    <t>COR-0173</t>
  </si>
  <si>
    <t>COR-0174</t>
  </si>
  <si>
    <t>COR-0175</t>
  </si>
  <si>
    <t>COR-0176</t>
  </si>
  <si>
    <t>COR-0177</t>
  </si>
  <si>
    <t>COR-0178</t>
  </si>
  <si>
    <t>COR-0179</t>
  </si>
  <si>
    <t>COR-0180</t>
  </si>
  <si>
    <t>COR-0181</t>
  </si>
  <si>
    <t>COR-0182</t>
  </si>
  <si>
    <t>COR-0183</t>
  </si>
  <si>
    <t>COR-0184</t>
  </si>
  <si>
    <t>COR-0185</t>
  </si>
  <si>
    <t>COR-0186</t>
  </si>
  <si>
    <t>COR-0187</t>
  </si>
  <si>
    <t>COR-0188</t>
  </si>
  <si>
    <t>COR-0189</t>
  </si>
  <si>
    <t>COR-0190</t>
  </si>
  <si>
    <t>COR-0191</t>
  </si>
  <si>
    <t>COR-0192</t>
  </si>
  <si>
    <t>COR-0193</t>
  </si>
  <si>
    <t>COR-0194</t>
  </si>
  <si>
    <t>COR-0195</t>
  </si>
  <si>
    <t>COR-0196</t>
  </si>
  <si>
    <t>COR-0197</t>
  </si>
  <si>
    <t>COR-0198</t>
  </si>
  <si>
    <t>COR-0199</t>
  </si>
  <si>
    <t>COR-0200</t>
  </si>
  <si>
    <t>COR-0201</t>
  </si>
  <si>
    <t>COR-0202</t>
  </si>
  <si>
    <t>COR-0203</t>
  </si>
  <si>
    <t>COR-0204</t>
  </si>
  <si>
    <t>COR-0205</t>
  </si>
  <si>
    <t>COR-0206</t>
  </si>
  <si>
    <t>COR-0207</t>
  </si>
  <si>
    <t>COR-0208</t>
  </si>
  <si>
    <t>COR-0209</t>
  </si>
  <si>
    <t>COR-0210</t>
  </si>
  <si>
    <t>COR-0211</t>
  </si>
  <si>
    <t>COR-0212</t>
  </si>
  <si>
    <t>COR-0213</t>
  </si>
  <si>
    <t>COR-0214</t>
  </si>
  <si>
    <t>COR-0215</t>
  </si>
  <si>
    <t>COR-0216</t>
  </si>
  <si>
    <t>COR-0217</t>
  </si>
  <si>
    <t>COR-0218</t>
  </si>
  <si>
    <t>COR-0219</t>
  </si>
  <si>
    <t>COR-0220</t>
  </si>
  <si>
    <t>COR-0221</t>
  </si>
  <si>
    <t>COR-0222</t>
  </si>
  <si>
    <t>COR-0223</t>
  </si>
  <si>
    <t>COR-0224</t>
  </si>
  <si>
    <t>COR-0225</t>
  </si>
  <si>
    <t>COR-0226</t>
  </si>
  <si>
    <t>COR-0227</t>
  </si>
  <si>
    <t>COR-0228</t>
  </si>
  <si>
    <t>COR-0229</t>
  </si>
  <si>
    <t>COR-0230</t>
  </si>
  <si>
    <t>COR-0231</t>
  </si>
  <si>
    <t>COR-0232</t>
  </si>
  <si>
    <t>COR-0233</t>
  </si>
  <si>
    <t>COR-0234</t>
  </si>
  <si>
    <t>COR-0235</t>
  </si>
  <si>
    <t>COR-0236</t>
  </si>
  <si>
    <t>COR-0237</t>
  </si>
  <si>
    <t>COR-0238</t>
  </si>
  <si>
    <t>COR-0239</t>
  </si>
  <si>
    <t>COR-0240</t>
  </si>
  <si>
    <t>COR-0241</t>
  </si>
  <si>
    <t>COR-0242</t>
  </si>
  <si>
    <t>COR-0243</t>
  </si>
  <si>
    <t>COR-0244</t>
  </si>
  <si>
    <t>COR-0245</t>
  </si>
  <si>
    <t>COR-0246</t>
  </si>
  <si>
    <t>COR-0247</t>
  </si>
  <si>
    <t>COR-0248</t>
  </si>
  <si>
    <t>COR-0249</t>
  </si>
  <si>
    <t>COR-0250</t>
  </si>
  <si>
    <t>COR-0251</t>
  </si>
  <si>
    <t>COR-0252</t>
  </si>
  <si>
    <t>COR-0253</t>
  </si>
  <si>
    <t>COR-0254</t>
  </si>
  <si>
    <t>COR-0255</t>
  </si>
  <si>
    <t>COR-0256</t>
  </si>
  <si>
    <t>COR-0257</t>
  </si>
  <si>
    <t>COR-0258</t>
  </si>
  <si>
    <t>COR-0259</t>
  </si>
  <si>
    <t>COR-0260</t>
  </si>
  <si>
    <t>COR-0261</t>
  </si>
  <si>
    <t>COR-0262</t>
  </si>
  <si>
    <t>COR-0263</t>
  </si>
  <si>
    <t>COR-0264</t>
  </si>
  <si>
    <t>COR-0265</t>
  </si>
  <si>
    <t>COR-0266</t>
  </si>
  <si>
    <t>COR-0267</t>
  </si>
  <si>
    <t>COR-0268</t>
  </si>
  <si>
    <t>COR-0269</t>
  </si>
  <si>
    <t>COR-0270</t>
  </si>
  <si>
    <t>COR-0271</t>
  </si>
  <si>
    <t>COR-0272</t>
  </si>
  <si>
    <t>COR-0273</t>
  </si>
  <si>
    <t>COR-0274</t>
  </si>
  <si>
    <t>COR-0275</t>
  </si>
  <si>
    <t>COR-0276</t>
  </si>
  <si>
    <t>COR-0277</t>
  </si>
  <si>
    <t>COR-0278</t>
  </si>
  <si>
    <t>COR-0279</t>
  </si>
  <si>
    <t>COR-0280</t>
  </si>
  <si>
    <t>COR-0281</t>
  </si>
  <si>
    <t>COR-0282</t>
  </si>
  <si>
    <t>COR-0283</t>
  </si>
  <si>
    <t>COR-0284</t>
  </si>
  <si>
    <t>COR-0285</t>
  </si>
  <si>
    <t>COR-0286</t>
  </si>
  <si>
    <t>COR-0287</t>
  </si>
  <si>
    <t>COR-0288</t>
  </si>
  <si>
    <t>COR-0289</t>
  </si>
  <si>
    <t>COR-0290</t>
  </si>
  <si>
    <t>COR-0291</t>
  </si>
  <si>
    <t>COR-0292</t>
  </si>
  <si>
    <t>COR-0293</t>
  </si>
  <si>
    <t>COR-0294</t>
  </si>
  <si>
    <t>COR-0295</t>
  </si>
  <si>
    <t>COR-0296</t>
  </si>
  <si>
    <t>COR-0297</t>
  </si>
  <si>
    <t>COR-0298</t>
  </si>
  <si>
    <t>COR-0299</t>
  </si>
  <si>
    <t>COR-0300</t>
  </si>
  <si>
    <t>Rodriguez Inc</t>
  </si>
  <si>
    <t>Franco Ltd</t>
  </si>
  <si>
    <t>Schmitt LLC</t>
  </si>
  <si>
    <t>Gonzalez, Love and Stokes</t>
  </si>
  <si>
    <t>Jenkins, Griffith and Olson</t>
  </si>
  <si>
    <t>Kelley-Jordan</t>
  </si>
  <si>
    <t>Phillips-Mcknight</t>
  </si>
  <si>
    <t>Thomas, Baker and Young</t>
  </si>
  <si>
    <t>Hughes-Howard</t>
  </si>
  <si>
    <t>Quinn-Zimmerman</t>
  </si>
  <si>
    <t>Sparks Group</t>
  </si>
  <si>
    <t>Mclean, Baker and Smith</t>
  </si>
  <si>
    <t>Gonzalez Group</t>
  </si>
  <si>
    <t>Barnes-Harris</t>
  </si>
  <si>
    <t>Smith Group</t>
  </si>
  <si>
    <t>Morris, Foster and Turner</t>
  </si>
  <si>
    <t>Baker LLC</t>
  </si>
  <si>
    <t>Cox, Roberson and Smith</t>
  </si>
  <si>
    <t>Fisher and Sons</t>
  </si>
  <si>
    <t>Roberts, Chavez and Bryant</t>
  </si>
  <si>
    <t>Meyer LLC</t>
  </si>
  <si>
    <t>Combs Inc</t>
  </si>
  <si>
    <t>Snyder-Lee</t>
  </si>
  <si>
    <t>Reeves Ltd</t>
  </si>
  <si>
    <t>Bailey Inc</t>
  </si>
  <si>
    <t>Watkins-Mccormick</t>
  </si>
  <si>
    <t>Callahan-Bauer</t>
  </si>
  <si>
    <t>Baker-Martin</t>
  </si>
  <si>
    <t>Wolfe-Campbell</t>
  </si>
  <si>
    <t>Garcia PLC</t>
  </si>
  <si>
    <t>Russell-Johnson</t>
  </si>
  <si>
    <t>Taylor, Leon and Bell</t>
  </si>
  <si>
    <t>Hunter, Burton and Lee</t>
  </si>
  <si>
    <t>Krueger PLC</t>
  </si>
  <si>
    <t>Manning Ltd</t>
  </si>
  <si>
    <t>Palmer-Wilson</t>
  </si>
  <si>
    <t>Miller, Armstrong and Rowland</t>
  </si>
  <si>
    <t>Miller-Myers</t>
  </si>
  <si>
    <t>Chandler-Hernandez</t>
  </si>
  <si>
    <t>Holmes-Mcdaniel</t>
  </si>
  <si>
    <t>Tran, Carter and Sellers</t>
  </si>
  <si>
    <t>Lutz-Blackwell</t>
  </si>
  <si>
    <t>Park, Mccarty and Jensen</t>
  </si>
  <si>
    <t>Liu Group</t>
  </si>
  <si>
    <t>French Inc</t>
  </si>
  <si>
    <t>Massey-Taylor</t>
  </si>
  <si>
    <t>Rose, Hood and Sanders</t>
  </si>
  <si>
    <t>Valencia PLC</t>
  </si>
  <si>
    <t>Martin Ltd</t>
  </si>
  <si>
    <t>Johnson, Guerra and Young</t>
  </si>
  <si>
    <t>Ferguson, West and Davis</t>
  </si>
  <si>
    <t>Lee Group</t>
  </si>
  <si>
    <t>Perez-Ramirez</t>
  </si>
  <si>
    <t>Turner, Taylor and Jones</t>
  </si>
  <si>
    <t>Garner-Patterson</t>
  </si>
  <si>
    <t>Thompson-Gill</t>
  </si>
  <si>
    <t>Goodman and Sons</t>
  </si>
  <si>
    <t>Carpenter, Williamson and Carroll</t>
  </si>
  <si>
    <t>King, Romero and Grimes</t>
  </si>
  <si>
    <t>Leon-Perry</t>
  </si>
  <si>
    <t>Arnold PLC</t>
  </si>
  <si>
    <t>Weaver PLC</t>
  </si>
  <si>
    <t>Allen, Krueger and Foley</t>
  </si>
  <si>
    <t>Romero, Fox and Pham</t>
  </si>
  <si>
    <t>Sherman-Lee</t>
  </si>
  <si>
    <t>Hopkins and Sons</t>
  </si>
  <si>
    <t>Ellis-Benson</t>
  </si>
  <si>
    <t>Lee-Dean</t>
  </si>
  <si>
    <t>Phillips-Rogers</t>
  </si>
  <si>
    <t>Carter, Douglas and King</t>
  </si>
  <si>
    <t>Harrison Inc</t>
  </si>
  <si>
    <t>Obrien, Jenkins and Baker</t>
  </si>
  <si>
    <t>Powers, Scott and Kline</t>
  </si>
  <si>
    <t>Kelley-Conrad</t>
  </si>
  <si>
    <t>Velasquez and Sons</t>
  </si>
  <si>
    <t>Bailey, Knight and Martinez</t>
  </si>
  <si>
    <t>Nolan-Romero</t>
  </si>
  <si>
    <t>Jordan Inc</t>
  </si>
  <si>
    <t>Lawrence-Rodriguez</t>
  </si>
  <si>
    <t>Hill PLC</t>
  </si>
  <si>
    <t>Riddle, Shah and Myers</t>
  </si>
  <si>
    <t>Cline, Newman and Hines</t>
  </si>
  <si>
    <t>Crawford-Morrow</t>
  </si>
  <si>
    <t>Lynch-Rollins</t>
  </si>
  <si>
    <t>Mckinney, Reese and Clark</t>
  </si>
  <si>
    <t>Warner PLC</t>
  </si>
  <si>
    <t>Gray, French and Wheeler</t>
  </si>
  <si>
    <t>Reilly PLC</t>
  </si>
  <si>
    <t>Kelly-Hendricks</t>
  </si>
  <si>
    <t>Cline and Sons</t>
  </si>
  <si>
    <t>Love, Garrett and Wilcox</t>
  </si>
  <si>
    <t>Garrison Ltd</t>
  </si>
  <si>
    <t>Thomas Group</t>
  </si>
  <si>
    <t>Johnson, Smith and Ward</t>
  </si>
  <si>
    <t>Becker-Barnes</t>
  </si>
  <si>
    <t>Hall-Smith</t>
  </si>
  <si>
    <t>Cobb Ltd</t>
  </si>
  <si>
    <t>Thompson-Rhodes</t>
  </si>
  <si>
    <t>Kelly-Hall</t>
  </si>
  <si>
    <t>Griffin, Jordan and Dixon</t>
  </si>
  <si>
    <t>Henderson-Mccormick</t>
  </si>
  <si>
    <t>Perez-Peters</t>
  </si>
  <si>
    <t>Cruz-Hughes</t>
  </si>
  <si>
    <t>Fletcher and Sons</t>
  </si>
  <si>
    <t>Young Ltd</t>
  </si>
  <si>
    <t>Johns, Hebert and Khan</t>
  </si>
  <si>
    <t>Coleman, Patterson and Walker</t>
  </si>
  <si>
    <t>Torres-Ross</t>
  </si>
  <si>
    <t>Woodard, Mason and Hawkins</t>
  </si>
  <si>
    <t>Taylor, Miller and Holland</t>
  </si>
  <si>
    <t>Gay-Griffin</t>
  </si>
  <si>
    <t>Hart-Branch</t>
  </si>
  <si>
    <t>Velasquez Group</t>
  </si>
  <si>
    <t>Rodgers, Reyes and Kaufman</t>
  </si>
  <si>
    <t>Garrett LLC</t>
  </si>
  <si>
    <t>Jenkins-Marshall</t>
  </si>
  <si>
    <t>Miller, Holden and Robinson</t>
  </si>
  <si>
    <t>Rivera Inc</t>
  </si>
  <si>
    <t>Pennington, Duran and Rodriguez</t>
  </si>
  <si>
    <t>Reed, Cabrera and Moore</t>
  </si>
  <si>
    <t>Walker PLC</t>
  </si>
  <si>
    <t>Nguyen, Orr and Zhang</t>
  </si>
  <si>
    <t>Lewis-Nielsen</t>
  </si>
  <si>
    <t>Henderson, Lee and Gordon</t>
  </si>
  <si>
    <t>Carrillo Group</t>
  </si>
  <si>
    <t>Sutton, Salas and Adkins</t>
  </si>
  <si>
    <t>Green Inc</t>
  </si>
  <si>
    <t>Zavala, Woodard and Brown</t>
  </si>
  <si>
    <t>Green Group</t>
  </si>
  <si>
    <t>Brown-Walker</t>
  </si>
  <si>
    <t>Brooks, Henderson and Miller</t>
  </si>
  <si>
    <t>Miller LLC</t>
  </si>
  <si>
    <t>Gallegos-Walsh</t>
  </si>
  <si>
    <t>Snyder and Sons</t>
  </si>
  <si>
    <t>Howard Inc</t>
  </si>
  <si>
    <t>Harrison-Kramer</t>
  </si>
  <si>
    <t>Dean, Gordon and Richards</t>
  </si>
  <si>
    <t>Robles and Sons</t>
  </si>
  <si>
    <t>Smith-Martinez</t>
  </si>
  <si>
    <t>Beck-Armstrong</t>
  </si>
  <si>
    <t>Herrera Ltd</t>
  </si>
  <si>
    <t>Campbell-Young</t>
  </si>
  <si>
    <t>Anderson, Reed and Lopez</t>
  </si>
  <si>
    <t>Reynolds Inc</t>
  </si>
  <si>
    <t>Young-Davis</t>
  </si>
  <si>
    <t>Garcia LLC</t>
  </si>
  <si>
    <t>Williamson, Duncan and Thomas</t>
  </si>
  <si>
    <t>Lawson-Dunn</t>
  </si>
  <si>
    <t>Glover, Bradley and Barton</t>
  </si>
  <si>
    <t>Navarro-Clark</t>
  </si>
  <si>
    <t>Wilson, Welch and Phillips</t>
  </si>
  <si>
    <t>Jordan-Padilla</t>
  </si>
  <si>
    <t>White, Hurley and Moreno</t>
  </si>
  <si>
    <t>Richardson-Johnson</t>
  </si>
  <si>
    <t>Noble-Mcguire</t>
  </si>
  <si>
    <t>Thornton, Hayes and Anderson</t>
  </si>
  <si>
    <t>Davis, Hoffman and Small</t>
  </si>
  <si>
    <t>Cardenas, Cohen and Ware</t>
  </si>
  <si>
    <t>Ingram-Wall</t>
  </si>
  <si>
    <t>Miller, Anderson and Cooper</t>
  </si>
  <si>
    <t>Martinez-White</t>
  </si>
  <si>
    <t>Webb, Perkins and Griffith</t>
  </si>
  <si>
    <t>Mccormick-Craig</t>
  </si>
  <si>
    <t>Foster Group</t>
  </si>
  <si>
    <t>Harmon, Galloway and Robinson</t>
  </si>
  <si>
    <t>Jensen, Lewis and Price</t>
  </si>
  <si>
    <t>Medina-Tate</t>
  </si>
  <si>
    <t>Harmon LLC</t>
  </si>
  <si>
    <t>Perry, Buckley and Smith</t>
  </si>
  <si>
    <t>Campbell-Mason</t>
  </si>
  <si>
    <t>Strickland, Prince and Kelley</t>
  </si>
  <si>
    <t>Douglas Group</t>
  </si>
  <si>
    <t>Juarez-Cooper</t>
  </si>
  <si>
    <t>Harper LLC</t>
  </si>
  <si>
    <t>Walker Group</t>
  </si>
  <si>
    <t>Robertson-Phillips</t>
  </si>
  <si>
    <t>Garcia-Palmer</t>
  </si>
  <si>
    <t>Wright, Moore and Hooper</t>
  </si>
  <si>
    <t>Horton-Oconnor</t>
  </si>
  <si>
    <t>Dominguez-Ballard</t>
  </si>
  <si>
    <t>Garza, Johnson and Rogers</t>
  </si>
  <si>
    <t>Powell, Jones and Brewer</t>
  </si>
  <si>
    <t>King, Washington and Smith</t>
  </si>
  <si>
    <t>Cox, Morris and Gross</t>
  </si>
  <si>
    <t>Nielsen, Young and Miller</t>
  </si>
  <si>
    <t>Short, Huerta and Fernandez</t>
  </si>
  <si>
    <t>Duncan, Mckenzie and Wright</t>
  </si>
  <si>
    <t>Cummings Inc</t>
  </si>
  <si>
    <t>Powell-Little</t>
  </si>
  <si>
    <t>Gomez and Sons</t>
  </si>
  <si>
    <t>Smith-Miller</t>
  </si>
  <si>
    <t>Schultz-Buck</t>
  </si>
  <si>
    <t>Thompson-Johnson</t>
  </si>
  <si>
    <t>Rivera, Jackson and Lopez</t>
  </si>
  <si>
    <t>Graves Group</t>
  </si>
  <si>
    <t>Thomas-Valenzuela</t>
  </si>
  <si>
    <t>Rodriguez, Garza and Mckee</t>
  </si>
  <si>
    <t>Sims-Spencer</t>
  </si>
  <si>
    <t>Edwards, Gutierrez and Solis</t>
  </si>
  <si>
    <t>Guerra Group</t>
  </si>
  <si>
    <t>Costa LLC</t>
  </si>
  <si>
    <t>West-Palmer</t>
  </si>
  <si>
    <t>Scott Group</t>
  </si>
  <si>
    <t>Cox-Heath</t>
  </si>
  <si>
    <t>Huffman and Sons</t>
  </si>
  <si>
    <t>Dennis, Mcguire and Rodriguez</t>
  </si>
  <si>
    <t>Martin-Bean</t>
  </si>
  <si>
    <t>Mendoza-Miles</t>
  </si>
  <si>
    <t>Lucas-Mann</t>
  </si>
  <si>
    <t>Brown PLC</t>
  </si>
  <si>
    <t>Brock-Cole</t>
  </si>
  <si>
    <t>Drake, Floyd and Green</t>
  </si>
  <si>
    <t>Hicks-Carr</t>
  </si>
  <si>
    <t>Young-Marsh</t>
  </si>
  <si>
    <t>Wilson-Donaldson</t>
  </si>
  <si>
    <t>Prince-Potter</t>
  </si>
  <si>
    <t>Lewis-Williams</t>
  </si>
  <si>
    <t>Weeks, Rice and Costa</t>
  </si>
  <si>
    <t>Gould, Lee and Mitchell</t>
  </si>
  <si>
    <t>Mckay, Haynes and Gonzalez</t>
  </si>
  <si>
    <t>Hill Inc</t>
  </si>
  <si>
    <t>Harper-Flores</t>
  </si>
  <si>
    <t>French-Richards</t>
  </si>
  <si>
    <t>Cuevas-Watson</t>
  </si>
  <si>
    <t>Burns-Blackwell</t>
  </si>
  <si>
    <t>Price-Parker</t>
  </si>
  <si>
    <t>Hunter-Zamora</t>
  </si>
  <si>
    <t>Harrington, Armstrong and Nguyen</t>
  </si>
  <si>
    <t>Wilson, Sanders and Wolf</t>
  </si>
  <si>
    <t>Newman, Ramirez and Williams</t>
  </si>
  <si>
    <t>Mcneil Ltd</t>
  </si>
  <si>
    <t>Rich-Ponce</t>
  </si>
  <si>
    <t>Patterson PLC</t>
  </si>
  <si>
    <t>Frye, Johnson and Robles</t>
  </si>
  <si>
    <t>Becker Inc</t>
  </si>
  <si>
    <t>Chambers, Ho and Smith</t>
  </si>
  <si>
    <t>Garcia-Moreno</t>
  </si>
  <si>
    <t>Ramirez PLC</t>
  </si>
  <si>
    <t>Bauer, Owens and Hendrix</t>
  </si>
  <si>
    <t>Hancock, Nunez and Griffin</t>
  </si>
  <si>
    <t>Rogers, Johnson and Johnson</t>
  </si>
  <si>
    <t>Hopkins-Mckay</t>
  </si>
  <si>
    <t>Kent, Davis and Woods</t>
  </si>
  <si>
    <t>Wright LLC</t>
  </si>
  <si>
    <t>Burns, Thompson and Harrison</t>
  </si>
  <si>
    <t>James Inc</t>
  </si>
  <si>
    <t>Campbell, Brown and Sims</t>
  </si>
  <si>
    <t>Young PLC</t>
  </si>
  <si>
    <t>Johnson, Clark and Crosby</t>
  </si>
  <si>
    <t>Mitchell-Case</t>
  </si>
  <si>
    <t>Cochran, Green and Newman</t>
  </si>
  <si>
    <t>Davis, Cook and Miller</t>
  </si>
  <si>
    <t>Johnson Group</t>
  </si>
  <si>
    <t>Ward, Love and Jones</t>
  </si>
  <si>
    <t>Hale, Smith and Johnson</t>
  </si>
  <si>
    <t>Gutierrez-Schaefer</t>
  </si>
  <si>
    <t>Hoffman-Wilkinson</t>
  </si>
  <si>
    <t>Carlson, Juarez and Garcia</t>
  </si>
  <si>
    <t>Goodman Ltd</t>
  </si>
  <si>
    <t>Salazar-Green</t>
  </si>
  <si>
    <t>Martinez Group</t>
  </si>
  <si>
    <t>Carey-Meza</t>
  </si>
  <si>
    <t>Weiss-Santiago</t>
  </si>
  <si>
    <t>Chambers Ltd</t>
  </si>
  <si>
    <t>Anderson LLC</t>
  </si>
  <si>
    <t>Levine, Taylor and Bennett</t>
  </si>
  <si>
    <t>Ross Group</t>
  </si>
  <si>
    <t>Riley-Gates</t>
  </si>
  <si>
    <t>Velasquez PLC</t>
  </si>
  <si>
    <t>French, Mcdowell and Jacobson</t>
  </si>
  <si>
    <t>Weeks PLC</t>
  </si>
  <si>
    <t>Horne Inc</t>
  </si>
  <si>
    <t>Gray-Walsh</t>
  </si>
  <si>
    <t>Murray, Jordan and Quinn</t>
  </si>
  <si>
    <t>Perkins Group</t>
  </si>
  <si>
    <t>Hill LLC</t>
  </si>
  <si>
    <t>Dean Inc</t>
  </si>
  <si>
    <t>Sanders, Wilson and Walker</t>
  </si>
  <si>
    <t>Perry and Sons</t>
  </si>
  <si>
    <t>Riddle-Walker</t>
  </si>
  <si>
    <t>Thompson PLC</t>
  </si>
  <si>
    <t>Evans Inc</t>
  </si>
  <si>
    <t>Patel, Carey and Armstrong</t>
  </si>
  <si>
    <t>Bell-Lang</t>
  </si>
  <si>
    <t>Stevens-Hanson</t>
  </si>
  <si>
    <t>Edwards, Reed and Ramirez</t>
  </si>
  <si>
    <t>Shaw-Wagner</t>
  </si>
  <si>
    <t>Bullock Inc</t>
  </si>
  <si>
    <t>Wells-Sims</t>
  </si>
  <si>
    <t>Mcintosh Ltd</t>
  </si>
  <si>
    <t>Leonard-Welch</t>
  </si>
  <si>
    <t>Calhoun, Brown and Winters</t>
  </si>
  <si>
    <t>Dennis, Sheppard and White</t>
  </si>
  <si>
    <t>Douglas, Bishop and Sanchez</t>
  </si>
  <si>
    <t>Snow-Arroyo</t>
  </si>
  <si>
    <t>Taylor-Rosario</t>
  </si>
  <si>
    <t>Torres-Cruz</t>
  </si>
  <si>
    <t>Burns-Lopez</t>
  </si>
  <si>
    <t>Williams and Sons</t>
  </si>
  <si>
    <t>Hernandez Group</t>
  </si>
  <si>
    <t>Retail</t>
  </si>
  <si>
    <t>Manufacturing</t>
  </si>
  <si>
    <t>Technology</t>
  </si>
  <si>
    <t>Defense</t>
  </si>
  <si>
    <t>RC-15453</t>
  </si>
  <si>
    <t>RC-56175</t>
  </si>
  <si>
    <t>RC-84710</t>
  </si>
  <si>
    <t>RC-26777</t>
  </si>
  <si>
    <t>RC-61103</t>
  </si>
  <si>
    <t>RC-83730</t>
  </si>
  <si>
    <t>RC-64831</t>
  </si>
  <si>
    <t>RC-9722</t>
  </si>
  <si>
    <t>RC-81937</t>
  </si>
  <si>
    <t>RC-77950</t>
  </si>
  <si>
    <t>RC-18314</t>
  </si>
  <si>
    <t>RC-61769</t>
  </si>
  <si>
    <t>RC-23912</t>
  </si>
  <si>
    <t>RC-96738</t>
  </si>
  <si>
    <t>RC-95988</t>
  </si>
  <si>
    <t>RC-47578</t>
  </si>
  <si>
    <t>RC-57922</t>
  </si>
  <si>
    <t>RC-19607</t>
  </si>
  <si>
    <t>RC-20469</t>
  </si>
  <si>
    <t>RC-23450</t>
  </si>
  <si>
    <t>RC-73467</t>
  </si>
  <si>
    <t>RC-12593</t>
  </si>
  <si>
    <t>RC-40240</t>
  </si>
  <si>
    <t>RC-56577</t>
  </si>
  <si>
    <t>RC-96250</t>
  </si>
  <si>
    <t>RC-29855</t>
  </si>
  <si>
    <t>RC-74774</t>
  </si>
  <si>
    <t>RC-81475</t>
  </si>
  <si>
    <t>RC-85933</t>
  </si>
  <si>
    <t>RC-66919</t>
  </si>
  <si>
    <t>RC-23988</t>
  </si>
  <si>
    <t>RC-6247</t>
  </si>
  <si>
    <t>RC-81075</t>
  </si>
  <si>
    <t>RC-59022</t>
  </si>
  <si>
    <t>RC-37114</t>
  </si>
  <si>
    <t>RC-42507</t>
  </si>
  <si>
    <t>RC-80452</t>
  </si>
  <si>
    <t>RC-55875</t>
  </si>
  <si>
    <t>RC-91934</t>
  </si>
  <si>
    <t>RC-85121</t>
  </si>
  <si>
    <t>RC-93890</t>
  </si>
  <si>
    <t>RC-38132</t>
  </si>
  <si>
    <t>RC-47482</t>
  </si>
  <si>
    <t>RC-30475</t>
  </si>
  <si>
    <t>RC-83389</t>
  </si>
  <si>
    <t>RC-4844</t>
  </si>
  <si>
    <t>RC-4239</t>
  </si>
  <si>
    <t>RC-14494</t>
  </si>
  <si>
    <t>RC-98587</t>
  </si>
  <si>
    <t>RC-37485</t>
  </si>
  <si>
    <t>RC-41177</t>
  </si>
  <si>
    <t>RC-86699</t>
  </si>
  <si>
    <t>RC-94880</t>
  </si>
  <si>
    <t>RC-15326</t>
  </si>
  <si>
    <t>RC-32275</t>
  </si>
  <si>
    <t>RC-12805</t>
  </si>
  <si>
    <t>RC-60318</t>
  </si>
  <si>
    <t>RC-87485</t>
  </si>
  <si>
    <t>RC-16877</t>
  </si>
  <si>
    <t>RC-72565</t>
  </si>
  <si>
    <t>RC-70067</t>
  </si>
  <si>
    <t>RC-65957</t>
  </si>
  <si>
    <t>RC-67279</t>
  </si>
  <si>
    <t>RC-21121</t>
  </si>
  <si>
    <t>RC-93419</t>
  </si>
  <si>
    <t>RC-54282</t>
  </si>
  <si>
    <t>RC-75372</t>
  </si>
  <si>
    <t>RC-52065</t>
  </si>
  <si>
    <t>RC-88671</t>
  </si>
  <si>
    <t>RC-46058</t>
  </si>
  <si>
    <t>RC-56766</t>
  </si>
  <si>
    <t>RC-69535</t>
  </si>
  <si>
    <t>RC-41952</t>
  </si>
  <si>
    <t>RC-29444</t>
  </si>
  <si>
    <t>RC-57578</t>
  </si>
  <si>
    <t>RC-94122</t>
  </si>
  <si>
    <t>RC-24840</t>
  </si>
  <si>
    <t>RC-65366</t>
  </si>
  <si>
    <t>RC-7313</t>
  </si>
  <si>
    <t>RC-41202</t>
  </si>
  <si>
    <t>RC-5221</t>
  </si>
  <si>
    <t>RC-41434</t>
  </si>
  <si>
    <t>RC-6052</t>
  </si>
  <si>
    <t>RC-18090</t>
  </si>
  <si>
    <t>RC-77897</t>
  </si>
  <si>
    <t>RC-94853</t>
  </si>
  <si>
    <t>RC-31518</t>
  </si>
  <si>
    <t>RC-6683</t>
  </si>
  <si>
    <t>RC-72466</t>
  </si>
  <si>
    <t>RC-54538</t>
  </si>
  <si>
    <t>RC-27944</t>
  </si>
  <si>
    <t>RC-63738</t>
  </si>
  <si>
    <t>RC-69915</t>
  </si>
  <si>
    <t>RC-41240</t>
  </si>
  <si>
    <t>RC-78891</t>
  </si>
  <si>
    <t>RC-94190</t>
  </si>
  <si>
    <t>RC-39075</t>
  </si>
  <si>
    <t>RC-88286</t>
  </si>
  <si>
    <t>RC-76805</t>
  </si>
  <si>
    <t>RC-22095</t>
  </si>
  <si>
    <t>RC-3333</t>
  </si>
  <si>
    <t>RC-68574</t>
  </si>
  <si>
    <t>RC-59425</t>
  </si>
  <si>
    <t>RC-60989</t>
  </si>
  <si>
    <t>RC-67896</t>
  </si>
  <si>
    <t>RC-41813</t>
  </si>
  <si>
    <t>RC-16135</t>
  </si>
  <si>
    <t>RC-66387</t>
  </si>
  <si>
    <t>RC-52392</t>
  </si>
  <si>
    <t>RC-6529</t>
  </si>
  <si>
    <t>RC-80694</t>
  </si>
  <si>
    <t>RC-22754</t>
  </si>
  <si>
    <t>RC-13843</t>
  </si>
  <si>
    <t>RC-4893</t>
  </si>
  <si>
    <t>RC-54419</t>
  </si>
  <si>
    <t>RC-85579</t>
  </si>
  <si>
    <t>RC-95721</t>
  </si>
  <si>
    <t>RC-64956</t>
  </si>
  <si>
    <t>RC-46127</t>
  </si>
  <si>
    <t>RC-33609</t>
  </si>
  <si>
    <t>RC-62803</t>
  </si>
  <si>
    <t>RC-63413</t>
  </si>
  <si>
    <t>RC-66195</t>
  </si>
  <si>
    <t>RC-67748</t>
  </si>
  <si>
    <t>RC-97418</t>
  </si>
  <si>
    <t>RC-11937</t>
  </si>
  <si>
    <t>RC-33309</t>
  </si>
  <si>
    <t>RC-49570</t>
  </si>
  <si>
    <t>RC-38697</t>
  </si>
  <si>
    <t>RC-79104</t>
  </si>
  <si>
    <t>RC-27578</t>
  </si>
  <si>
    <t>RC-46327</t>
  </si>
  <si>
    <t>RC-25153</t>
  </si>
  <si>
    <t>RC-96379</t>
  </si>
  <si>
    <t>RC-18916</t>
  </si>
  <si>
    <t>RC-62070</t>
  </si>
  <si>
    <t>RC-7645</t>
  </si>
  <si>
    <t>RC-33523</t>
  </si>
  <si>
    <t>RC-14080</t>
  </si>
  <si>
    <t>RC-67092</t>
  </si>
  <si>
    <t>RC-21201</t>
  </si>
  <si>
    <t>RC-18864</t>
  </si>
  <si>
    <t>RC-82114</t>
  </si>
  <si>
    <t>RC-3802</t>
  </si>
  <si>
    <t>RC-72463</t>
  </si>
  <si>
    <t>RC-79588</t>
  </si>
  <si>
    <t>RC-6886</t>
  </si>
  <si>
    <t>RC-3439</t>
  </si>
  <si>
    <t>RC-55604</t>
  </si>
  <si>
    <t>RC-11609</t>
  </si>
  <si>
    <t>RC-82756</t>
  </si>
  <si>
    <t>RC-48768</t>
  </si>
  <si>
    <t>RC-16942</t>
  </si>
  <si>
    <t>RC-94056</t>
  </si>
  <si>
    <t>RC-42077</t>
  </si>
  <si>
    <t>RC-84783</t>
  </si>
  <si>
    <t>RC-45314</t>
  </si>
  <si>
    <t>RC-13425</t>
  </si>
  <si>
    <t>RC-18752</t>
  </si>
  <si>
    <t>RC-33791</t>
  </si>
  <si>
    <t>RC-77825</t>
  </si>
  <si>
    <t>RC-7138</t>
  </si>
  <si>
    <t>RC-74342</t>
  </si>
  <si>
    <t>RC-17737</t>
  </si>
  <si>
    <t>RC-71748</t>
  </si>
  <si>
    <t>RC-66528</t>
  </si>
  <si>
    <t>RC-69454</t>
  </si>
  <si>
    <t>RC-4289</t>
  </si>
  <si>
    <t>RC-2365</t>
  </si>
  <si>
    <t>RC-74155</t>
  </si>
  <si>
    <t>RC-39096</t>
  </si>
  <si>
    <t>RC-34412</t>
  </si>
  <si>
    <t>RC-73743</t>
  </si>
  <si>
    <t>RC-7186</t>
  </si>
  <si>
    <t>RC-5330</t>
  </si>
  <si>
    <t>RC-18848</t>
  </si>
  <si>
    <t>RC-98582</t>
  </si>
  <si>
    <t>RC-70836</t>
  </si>
  <si>
    <t>RC-46582</t>
  </si>
  <si>
    <t>RC-33436</t>
  </si>
  <si>
    <t>RC-91519</t>
  </si>
  <si>
    <t>RC-56832</t>
  </si>
  <si>
    <t>RC-6991</t>
  </si>
  <si>
    <t>RC-58288</t>
  </si>
  <si>
    <t>RC-22029</t>
  </si>
  <si>
    <t>RC-26657</t>
  </si>
  <si>
    <t>RC-61019</t>
  </si>
  <si>
    <t>RC-3358</t>
  </si>
  <si>
    <t>RC-98750</t>
  </si>
  <si>
    <t>RC-35966</t>
  </si>
  <si>
    <t>RC-38284</t>
  </si>
  <si>
    <t>RC-92684</t>
  </si>
  <si>
    <t>RC-98111</t>
  </si>
  <si>
    <t>RC-71478</t>
  </si>
  <si>
    <t>RC-43853</t>
  </si>
  <si>
    <t>RC-89626</t>
  </si>
  <si>
    <t>RC-78554</t>
  </si>
  <si>
    <t>RC-23227</t>
  </si>
  <si>
    <t>RC-71685</t>
  </si>
  <si>
    <t>RC-37746</t>
  </si>
  <si>
    <t>RC-36662</t>
  </si>
  <si>
    <t>RC-39079</t>
  </si>
  <si>
    <t>RC-97597</t>
  </si>
  <si>
    <t>RC-23189</t>
  </si>
  <si>
    <t>RC-32506</t>
  </si>
  <si>
    <t>RC-22740</t>
  </si>
  <si>
    <t>RC-21260</t>
  </si>
  <si>
    <t>RC-39092</t>
  </si>
  <si>
    <t>RC-25252</t>
  </si>
  <si>
    <t>RC-87315</t>
  </si>
  <si>
    <t>RC-81314</t>
  </si>
  <si>
    <t>RC-98878</t>
  </si>
  <si>
    <t>RC-23453</t>
  </si>
  <si>
    <t>RC-75739</t>
  </si>
  <si>
    <t>RC-42957</t>
  </si>
  <si>
    <t>RC-63281</t>
  </si>
  <si>
    <t>RC-98635</t>
  </si>
  <si>
    <t>RC-46390</t>
  </si>
  <si>
    <t>RC-48776</t>
  </si>
  <si>
    <t>RC-93721</t>
  </si>
  <si>
    <t>RC-86172</t>
  </si>
  <si>
    <t>RC-86361</t>
  </si>
  <si>
    <t>RC-77136</t>
  </si>
  <si>
    <t>RC-88806</t>
  </si>
  <si>
    <t>RC-54752</t>
  </si>
  <si>
    <t>RC-42575</t>
  </si>
  <si>
    <t>RC-68970</t>
  </si>
  <si>
    <t>RC-61694</t>
  </si>
  <si>
    <t>RC-1244</t>
  </si>
  <si>
    <t>RC-36392</t>
  </si>
  <si>
    <t>RC-67135</t>
  </si>
  <si>
    <t>RC-61271</t>
  </si>
  <si>
    <t>RC-6584</t>
  </si>
  <si>
    <t>RC-71187</t>
  </si>
  <si>
    <t>RC-17556</t>
  </si>
  <si>
    <t>RC-4163</t>
  </si>
  <si>
    <t>RC-55886</t>
  </si>
  <si>
    <t>RC-5926</t>
  </si>
  <si>
    <t>RC-30060</t>
  </si>
  <si>
    <t>RC-75209</t>
  </si>
  <si>
    <t>RC-10003</t>
  </si>
  <si>
    <t>RC-77935</t>
  </si>
  <si>
    <t>RC-63743</t>
  </si>
  <si>
    <t>RC-58933</t>
  </si>
  <si>
    <t>RC-18309</t>
  </si>
  <si>
    <t>RC-9941</t>
  </si>
  <si>
    <t>RC-63903</t>
  </si>
  <si>
    <t>RC-14904</t>
  </si>
  <si>
    <t>RC-42997</t>
  </si>
  <si>
    <t>RC-77167</t>
  </si>
  <si>
    <t>RC-76414</t>
  </si>
  <si>
    <t>RC-37275</t>
  </si>
  <si>
    <t>RC-23774</t>
  </si>
  <si>
    <t>RC-84477</t>
  </si>
  <si>
    <t>RC-30216</t>
  </si>
  <si>
    <t>RC-38455</t>
  </si>
  <si>
    <t>RC-64778</t>
  </si>
  <si>
    <t>RC-85791</t>
  </si>
  <si>
    <t>RC-95776</t>
  </si>
  <si>
    <t>RC-27177</t>
  </si>
  <si>
    <t>RC-81809</t>
  </si>
  <si>
    <t>RC-22196</t>
  </si>
  <si>
    <t>RC-70497</t>
  </si>
  <si>
    <t>RC-12111</t>
  </si>
  <si>
    <t>RC-51164</t>
  </si>
  <si>
    <t>RC-17939</t>
  </si>
  <si>
    <t>RC-43107</t>
  </si>
  <si>
    <t>RC-34961</t>
  </si>
  <si>
    <t>RC-5012</t>
  </si>
  <si>
    <t>RC-67462</t>
  </si>
  <si>
    <t>RC-87437</t>
  </si>
  <si>
    <t>RC-38594</t>
  </si>
  <si>
    <t>RC-68084</t>
  </si>
  <si>
    <t>RC-80321</t>
  </si>
  <si>
    <t>RC-97811</t>
  </si>
  <si>
    <t>RC-67375</t>
  </si>
  <si>
    <t>RC-76943</t>
  </si>
  <si>
    <t>RC-55908</t>
  </si>
  <si>
    <t>RC-63597</t>
  </si>
  <si>
    <t>RC-54430</t>
  </si>
  <si>
    <t>RC-19698</t>
  </si>
  <si>
    <t>RC-68413</t>
  </si>
  <si>
    <t>RC-58458</t>
  </si>
  <si>
    <t>RC-24006</t>
  </si>
  <si>
    <t>RC-38609</t>
  </si>
  <si>
    <t>RC-46423</t>
  </si>
  <si>
    <t>RC-50538</t>
  </si>
  <si>
    <t>RC-86133</t>
  </si>
  <si>
    <t>RC-98963</t>
  </si>
  <si>
    <t>RC-55898</t>
  </si>
  <si>
    <t>RC-3389</t>
  </si>
  <si>
    <t>RC-96430</t>
  </si>
  <si>
    <t>RC-98629</t>
  </si>
  <si>
    <t>RC-96335</t>
  </si>
  <si>
    <t>RC-94477</t>
  </si>
  <si>
    <t>RC-1022</t>
  </si>
  <si>
    <t>RC-45606</t>
  </si>
  <si>
    <t>RC-84724</t>
  </si>
  <si>
    <t>RC-77931</t>
  </si>
  <si>
    <t>13/02/17</t>
  </si>
  <si>
    <t>23/09/23</t>
  </si>
  <si>
    <t>19/09/22</t>
  </si>
  <si>
    <t>12/12/22</t>
  </si>
  <si>
    <t>06/04/25</t>
  </si>
  <si>
    <t>06/10/19</t>
  </si>
  <si>
    <t>28/05/26</t>
  </si>
  <si>
    <t>15/10/17</t>
  </si>
  <si>
    <t>15/01/25</t>
  </si>
  <si>
    <t>04/11/23</t>
  </si>
  <si>
    <t>29/05/21</t>
  </si>
  <si>
    <t>13/12/25</t>
  </si>
  <si>
    <t>20/07/17</t>
  </si>
  <si>
    <t>19/12/20</t>
  </si>
  <si>
    <t>14/06/24</t>
  </si>
  <si>
    <t>11/10/20</t>
  </si>
  <si>
    <t>21/11/20</t>
  </si>
  <si>
    <t>25/01/18</t>
  </si>
  <si>
    <t>01/05/26</t>
  </si>
  <si>
    <t>06/02/22</t>
  </si>
  <si>
    <t>05/04/24</t>
  </si>
  <si>
    <t>08/12/21</t>
  </si>
  <si>
    <t>01/09/17</t>
  </si>
  <si>
    <t>20/02/21</t>
  </si>
  <si>
    <t>18/04/19</t>
  </si>
  <si>
    <t>01/05/20</t>
  </si>
  <si>
    <t>18/10/17</t>
  </si>
  <si>
    <t>30/06/25</t>
  </si>
  <si>
    <t>16/02/25</t>
  </si>
  <si>
    <t>05/07/25</t>
  </si>
  <si>
    <t>29/06/20</t>
  </si>
  <si>
    <t>22/11/24</t>
  </si>
  <si>
    <t>31/08/20</t>
  </si>
  <si>
    <t>06/11/17</t>
  </si>
  <si>
    <t>12/12/17</t>
  </si>
  <si>
    <t>09/11/21</t>
  </si>
  <si>
    <t>30/01/17</t>
  </si>
  <si>
    <t>07/08/23</t>
  </si>
  <si>
    <t>19/09/24</t>
  </si>
  <si>
    <t>20/05/17</t>
  </si>
  <si>
    <t>12/11/24</t>
  </si>
  <si>
    <t>16/09/20</t>
  </si>
  <si>
    <t>05/02/20</t>
  </si>
  <si>
    <t>18/03/22</t>
  </si>
  <si>
    <t>05/08/21</t>
  </si>
  <si>
    <t>11/07/24</t>
  </si>
  <si>
    <t>10/06/17</t>
  </si>
  <si>
    <t>08/11/23</t>
  </si>
  <si>
    <t>25/07/24</t>
  </si>
  <si>
    <t>18/03/17</t>
  </si>
  <si>
    <t>15/05/18</t>
  </si>
  <si>
    <t>22/03/19</t>
  </si>
  <si>
    <t>07/10/16</t>
  </si>
  <si>
    <t>06/11/16</t>
  </si>
  <si>
    <t>15/06/20</t>
  </si>
  <si>
    <t>11/04/18</t>
  </si>
  <si>
    <t>08/10/17</t>
  </si>
  <si>
    <t>23/08/16</t>
  </si>
  <si>
    <t>20/04/20</t>
  </si>
  <si>
    <t>17/09/23</t>
  </si>
  <si>
    <t>17/02/18</t>
  </si>
  <si>
    <t>27/11/17</t>
  </si>
  <si>
    <t>17/07/20</t>
  </si>
  <si>
    <t>04/02/17</t>
  </si>
  <si>
    <t>24/10/19</t>
  </si>
  <si>
    <t>19/03/18</t>
  </si>
  <si>
    <t>29/05/23</t>
  </si>
  <si>
    <t>29/06/26</t>
  </si>
  <si>
    <t>24/01/19</t>
  </si>
  <si>
    <t>10/04/22</t>
  </si>
  <si>
    <t>13/03/22</t>
  </si>
  <si>
    <t>04/11/20</t>
  </si>
  <si>
    <t>01/08/20</t>
  </si>
  <si>
    <t>15/10/20</t>
  </si>
  <si>
    <t>02/06/23</t>
  </si>
  <si>
    <t>10/02/20</t>
  </si>
  <si>
    <t>17/01/19</t>
  </si>
  <si>
    <t>24/12/22</t>
  </si>
  <si>
    <t>13/09/19</t>
  </si>
  <si>
    <t>03/12/25</t>
  </si>
  <si>
    <t>22/10/17</t>
  </si>
  <si>
    <t>08/08/19</t>
  </si>
  <si>
    <t>17/05/19</t>
  </si>
  <si>
    <t>01/12/24</t>
  </si>
  <si>
    <t>23/06/22</t>
  </si>
  <si>
    <t>12/03/25</t>
  </si>
  <si>
    <t>25/06/21</t>
  </si>
  <si>
    <t>20/02/25</t>
  </si>
  <si>
    <t>15/04/23</t>
  </si>
  <si>
    <t>05/03/20</t>
  </si>
  <si>
    <t>26/03/21</t>
  </si>
  <si>
    <t>05/10/21</t>
  </si>
  <si>
    <t>12/10/16</t>
  </si>
  <si>
    <t>28/11/18</t>
  </si>
  <si>
    <t>27/08/22</t>
  </si>
  <si>
    <t>14/01/20</t>
  </si>
  <si>
    <t>29/09/17</t>
  </si>
  <si>
    <t>21/05/20</t>
  </si>
  <si>
    <t>23/02/22</t>
  </si>
  <si>
    <t>20/01/22</t>
  </si>
  <si>
    <t>13/01/22</t>
  </si>
  <si>
    <t>04/02/25</t>
  </si>
  <si>
    <t>20/11/16</t>
  </si>
  <si>
    <t>21/04/23</t>
  </si>
  <si>
    <t>17/04/20</t>
  </si>
  <si>
    <t>14/11/18</t>
  </si>
  <si>
    <t>13/07/20</t>
  </si>
  <si>
    <t>19/10/18</t>
  </si>
  <si>
    <t>26/10/17</t>
  </si>
  <si>
    <t>09/04/18</t>
  </si>
  <si>
    <t>18/11/24</t>
  </si>
  <si>
    <t>10/05/17</t>
  </si>
  <si>
    <t>16/03/24</t>
  </si>
  <si>
    <t>10/09/18</t>
  </si>
  <si>
    <t>25/12/25</t>
  </si>
  <si>
    <t>15/06/17</t>
  </si>
  <si>
    <t>08/11/20</t>
  </si>
  <si>
    <t>10/09/25</t>
  </si>
  <si>
    <t>27/07/24</t>
  </si>
  <si>
    <t>28/06/21</t>
  </si>
  <si>
    <t>13/09/24</t>
  </si>
  <si>
    <t>03/04/18</t>
  </si>
  <si>
    <t>05/02/23</t>
  </si>
  <si>
    <t>02/01/23</t>
  </si>
  <si>
    <t>04/08/17</t>
  </si>
  <si>
    <t>11/06/23</t>
  </si>
  <si>
    <t>11/03/24</t>
  </si>
  <si>
    <t>12/09/24</t>
  </si>
  <si>
    <t>30/05/24</t>
  </si>
  <si>
    <t>31/01/19</t>
  </si>
  <si>
    <t>21/04/19</t>
  </si>
  <si>
    <t>29/01/22</t>
  </si>
  <si>
    <t>14/01/17</t>
  </si>
  <si>
    <t>31/08/17</t>
  </si>
  <si>
    <t>02/09/16</t>
  </si>
  <si>
    <t>09/06/26</t>
  </si>
  <si>
    <t>23/07/20</t>
  </si>
  <si>
    <t>08/02/20</t>
  </si>
  <si>
    <t>20/04/25</t>
  </si>
  <si>
    <t>04/05/24</t>
  </si>
  <si>
    <t>19/12/18</t>
  </si>
  <si>
    <t>02/07/20</t>
  </si>
  <si>
    <t>18/10/16</t>
  </si>
  <si>
    <t>07/05/18</t>
  </si>
  <si>
    <t>24/07/25</t>
  </si>
  <si>
    <t>14/11/16</t>
  </si>
  <si>
    <t>05/03/25</t>
  </si>
  <si>
    <t>07/10/20</t>
  </si>
  <si>
    <t>12/09/20</t>
  </si>
  <si>
    <t>01/01/21</t>
  </si>
  <si>
    <t>26/02/17</t>
  </si>
  <si>
    <t>09/11/17</t>
  </si>
  <si>
    <t>03/12/19</t>
  </si>
  <si>
    <t>24/09/22</t>
  </si>
  <si>
    <t>07/06/17</t>
  </si>
  <si>
    <t>01/07/20</t>
  </si>
  <si>
    <t>30/12/23</t>
  </si>
  <si>
    <t>25/06/25</t>
  </si>
  <si>
    <t>10/01/24</t>
  </si>
  <si>
    <t>13/08/18</t>
  </si>
  <si>
    <t>30/04/18</t>
  </si>
  <si>
    <t>14/12/17</t>
  </si>
  <si>
    <t>19/09/20</t>
  </si>
  <si>
    <t>27/10/18</t>
  </si>
  <si>
    <t>02/04/23</t>
  </si>
  <si>
    <t>28/03/20</t>
  </si>
  <si>
    <t>04/01/25</t>
  </si>
  <si>
    <t>19/06/20</t>
  </si>
  <si>
    <t>08/09/25</t>
  </si>
  <si>
    <t>07/12/25</t>
  </si>
  <si>
    <t>24/09/17</t>
  </si>
  <si>
    <t>05/11/17</t>
  </si>
  <si>
    <t>25/12/20</t>
  </si>
  <si>
    <t>23/11/17</t>
  </si>
  <si>
    <t>18/04/23</t>
  </si>
  <si>
    <t>18/05/18</t>
  </si>
  <si>
    <t>07/05/17</t>
  </si>
  <si>
    <t>02/02/17</t>
  </si>
  <si>
    <t>10/04/17</t>
  </si>
  <si>
    <t>20/03/23</t>
  </si>
  <si>
    <t>03/02/18</t>
  </si>
  <si>
    <t>29/09/20</t>
  </si>
  <si>
    <t>03/08/19</t>
  </si>
  <si>
    <t>19/03/24</t>
  </si>
  <si>
    <t>06/02/21</t>
  </si>
  <si>
    <t>24/03/20</t>
  </si>
  <si>
    <t>16/03/21</t>
  </si>
  <si>
    <t>15/11/17</t>
  </si>
  <si>
    <t>02/11/16</t>
  </si>
  <si>
    <t>09/01/21</t>
  </si>
  <si>
    <t>11/11/25</t>
  </si>
  <si>
    <t>20/01/17</t>
  </si>
  <si>
    <t>02/06/21</t>
  </si>
  <si>
    <t>05/10/19</t>
  </si>
  <si>
    <t>01/08/22</t>
  </si>
  <si>
    <t>14/07/23</t>
  </si>
  <si>
    <t>05/10/23</t>
  </si>
  <si>
    <t>20/03/21</t>
  </si>
  <si>
    <t>20/04/22</t>
  </si>
  <si>
    <t>01/11/23</t>
  </si>
  <si>
    <t>25/05/24</t>
  </si>
  <si>
    <t>08/11/17</t>
  </si>
  <si>
    <t>18/01/18</t>
  </si>
  <si>
    <t>22/02/19</t>
  </si>
  <si>
    <t>07/09/18</t>
  </si>
  <si>
    <t>19/06/24</t>
  </si>
  <si>
    <t>26/04/21</t>
  </si>
  <si>
    <t>25/05/25</t>
  </si>
  <si>
    <t>23/02/24</t>
  </si>
  <si>
    <t>20/11/23</t>
  </si>
  <si>
    <t>31/07/16</t>
  </si>
  <si>
    <t>27/02/24</t>
  </si>
  <si>
    <t>01/01/25</t>
  </si>
  <si>
    <t>04/08/16</t>
  </si>
  <si>
    <t>25/10/22</t>
  </si>
  <si>
    <t>18/05/20</t>
  </si>
  <si>
    <t>15/04/26</t>
  </si>
  <si>
    <t>16/07/19</t>
  </si>
  <si>
    <t>11/09/19</t>
  </si>
  <si>
    <t>20/05/23</t>
  </si>
  <si>
    <t>19/04/18</t>
  </si>
  <si>
    <t>08/12/22</t>
  </si>
  <si>
    <t>29/12/18</t>
  </si>
  <si>
    <t>01/03/26</t>
  </si>
  <si>
    <t>17/02/19</t>
  </si>
  <si>
    <t>29/11/25</t>
  </si>
  <si>
    <t>06/09/19</t>
  </si>
  <si>
    <t>17/03/21</t>
  </si>
  <si>
    <t>21/04/22</t>
  </si>
  <si>
    <t>13/04/23</t>
  </si>
  <si>
    <t>09/02/22</t>
  </si>
  <si>
    <t>04/11/25</t>
  </si>
  <si>
    <t>29/07/24</t>
  </si>
  <si>
    <t>21/09/16</t>
  </si>
  <si>
    <t>27/02/19</t>
  </si>
  <si>
    <t>12/10/22</t>
  </si>
  <si>
    <t>26/08/25</t>
  </si>
  <si>
    <t>18/07/20</t>
  </si>
  <si>
    <t>10/09/24</t>
  </si>
  <si>
    <t>16/04/23</t>
  </si>
  <si>
    <t>27/08/16</t>
  </si>
  <si>
    <t>19/12/19</t>
  </si>
  <si>
    <t>19/01/24</t>
  </si>
  <si>
    <t>23/06/26</t>
  </si>
  <si>
    <t>15/04/20</t>
  </si>
  <si>
    <t>12/11/25</t>
  </si>
  <si>
    <t>20/10/16</t>
  </si>
  <si>
    <t>06/10/23</t>
  </si>
  <si>
    <t>17/09/25</t>
  </si>
  <si>
    <t>14/11/21</t>
  </si>
  <si>
    <t>24/05/20</t>
  </si>
  <si>
    <t>27/11/16</t>
  </si>
  <si>
    <t>06/05/23</t>
  </si>
  <si>
    <t>13/07/22</t>
  </si>
  <si>
    <t>22/12/23</t>
  </si>
  <si>
    <t>31/03/26</t>
  </si>
  <si>
    <t>07/04/18</t>
  </si>
  <si>
    <t>26/04/26</t>
  </si>
  <si>
    <t>24/02/26</t>
  </si>
  <si>
    <t>26/11/18</t>
  </si>
  <si>
    <t>18/11/19</t>
  </si>
  <si>
    <t>15/12/21</t>
  </si>
  <si>
    <t>25/08/18</t>
  </si>
  <si>
    <t>01/03/23</t>
  </si>
  <si>
    <t>21/09/25</t>
  </si>
  <si>
    <t>06/09/18</t>
  </si>
  <si>
    <t>05/04/18</t>
  </si>
  <si>
    <t>03/12/23</t>
  </si>
  <si>
    <t>04/06/23</t>
  </si>
  <si>
    <t>21/05/22</t>
  </si>
  <si>
    <t>04/07/17</t>
  </si>
  <si>
    <t>06/07/25</t>
  </si>
  <si>
    <t>08/02/17</t>
  </si>
  <si>
    <t>13/01/25</t>
  </si>
  <si>
    <t>17/01/22</t>
  </si>
  <si>
    <t>21/07/22</t>
  </si>
  <si>
    <t>17/07/25</t>
  </si>
  <si>
    <t>15/04/25</t>
  </si>
  <si>
    <t>13/02/22</t>
  </si>
  <si>
    <t>22/08/18</t>
  </si>
  <si>
    <t>30/11/19</t>
  </si>
  <si>
    <t>03/05/23</t>
  </si>
  <si>
    <t>01/11/21</t>
  </si>
  <si>
    <t>04/10/19</t>
  </si>
  <si>
    <t>06/04/20</t>
  </si>
  <si>
    <t>20/10/24</t>
  </si>
  <si>
    <t>01/06/20</t>
  </si>
  <si>
    <t>14/09/17</t>
  </si>
  <si>
    <t>25/01/21</t>
  </si>
  <si>
    <t>31/01/20</t>
  </si>
  <si>
    <t>21/04/20</t>
  </si>
  <si>
    <t>11/03/19</t>
  </si>
  <si>
    <t>15/05/17</t>
  </si>
  <si>
    <t>25/08/24</t>
  </si>
  <si>
    <t>11/05/21</t>
  </si>
  <si>
    <t>27/06/20</t>
  </si>
  <si>
    <t>07/06/26</t>
  </si>
  <si>
    <t>25/08/21</t>
  </si>
  <si>
    <t>22/12/22</t>
  </si>
  <si>
    <t>21/06/24</t>
  </si>
  <si>
    <t>28/08/24</t>
  </si>
  <si>
    <t>20/08/25</t>
  </si>
  <si>
    <t>02/12/18</t>
  </si>
  <si>
    <t>11/03/17</t>
  </si>
  <si>
    <t>30/06/17</t>
  </si>
  <si>
    <t>21/11/18</t>
  </si>
  <si>
    <t>23/10/23</t>
  </si>
  <si>
    <t>22/10/24</t>
  </si>
  <si>
    <t>18/04/24</t>
  </si>
  <si>
    <t>05/12/23</t>
  </si>
  <si>
    <t>26/07/24</t>
  </si>
  <si>
    <t>02/05/22</t>
  </si>
  <si>
    <t>29/03/21</t>
  </si>
  <si>
    <t>01/04/17</t>
  </si>
  <si>
    <t>24/12/20</t>
  </si>
  <si>
    <t>11/09/17</t>
  </si>
  <si>
    <t>18/06/20</t>
  </si>
  <si>
    <t>01/07/22</t>
  </si>
  <si>
    <t>18/06/19</t>
  </si>
  <si>
    <t>05/07/17</t>
  </si>
  <si>
    <t>05/11/21</t>
  </si>
  <si>
    <t>12/03/19</t>
  </si>
  <si>
    <t>24/12/17</t>
  </si>
  <si>
    <t>18/10/24</t>
  </si>
  <si>
    <t>11/08/25</t>
  </si>
  <si>
    <t>23/12/18</t>
  </si>
  <si>
    <t>13/12/16</t>
  </si>
  <si>
    <t>22/07/26</t>
  </si>
  <si>
    <t>14/10/21</t>
  </si>
  <si>
    <t>08/09/21</t>
  </si>
  <si>
    <t>31/12/21</t>
  </si>
  <si>
    <t>13/09/17</t>
  </si>
  <si>
    <t>24/02/17</t>
  </si>
  <si>
    <t>21/05/26</t>
  </si>
  <si>
    <t>14/12/21</t>
  </si>
  <si>
    <t>01/06/22</t>
  </si>
  <si>
    <t>08/12/16</t>
  </si>
  <si>
    <t>20/12/18</t>
  </si>
  <si>
    <t>07/12/22</t>
  </si>
  <si>
    <t>09/05/21</t>
  </si>
  <si>
    <t>21/12/20</t>
  </si>
  <si>
    <t>02/05/19</t>
  </si>
  <si>
    <t>24/09/16</t>
  </si>
  <si>
    <t>09/04/23</t>
  </si>
  <si>
    <t>18/03/21</t>
  </si>
  <si>
    <t>02/02/19</t>
  </si>
  <si>
    <t>13/06/20</t>
  </si>
  <si>
    <t>17/01/21</t>
  </si>
  <si>
    <t>15/07/21</t>
  </si>
  <si>
    <t>15/11/25</t>
  </si>
  <si>
    <t>16/03/20</t>
  </si>
  <si>
    <t>11/02/22</t>
  </si>
  <si>
    <t>20/01/23</t>
  </si>
  <si>
    <t>10/04/21</t>
  </si>
  <si>
    <t>19/09/23</t>
  </si>
  <si>
    <t>29/11/20</t>
  </si>
  <si>
    <t>12/04/21</t>
  </si>
  <si>
    <t>26/01/22</t>
  </si>
  <si>
    <t>15/12/23</t>
  </si>
  <si>
    <t>29/12/23</t>
  </si>
  <si>
    <t>27/10/19</t>
  </si>
  <si>
    <t>25/05/20</t>
  </si>
  <si>
    <t>30/04/26</t>
  </si>
  <si>
    <t>23/03/19</t>
  </si>
  <si>
    <t>03/03/23</t>
  </si>
  <si>
    <t>11/12/19</t>
  </si>
  <si>
    <t>01/11/25</t>
  </si>
  <si>
    <t>21/11/24</t>
  </si>
  <si>
    <t>30/04/25</t>
  </si>
  <si>
    <t>10/03/19</t>
  </si>
  <si>
    <t>13/09/21</t>
  </si>
  <si>
    <t>07/04/26</t>
  </si>
  <si>
    <t>02/08/22</t>
  </si>
  <si>
    <t>08/03/17</t>
  </si>
  <si>
    <t>03/11/21</t>
  </si>
  <si>
    <t>08/01/17</t>
  </si>
  <si>
    <t>05/01/23</t>
  </si>
  <si>
    <t>21/02/17</t>
  </si>
  <si>
    <t>10/12/25</t>
  </si>
  <si>
    <t>04/07/18</t>
  </si>
  <si>
    <t>18/12/21</t>
  </si>
  <si>
    <t>14/06/25</t>
  </si>
  <si>
    <t>21/05/21</t>
  </si>
  <si>
    <t>25/09/23</t>
  </si>
  <si>
    <t>17/04/23</t>
  </si>
  <si>
    <t>14/07/25</t>
  </si>
  <si>
    <t>21/10/21</t>
  </si>
  <si>
    <t>12/04/17</t>
  </si>
  <si>
    <t>20/12/24</t>
  </si>
  <si>
    <t>22/10/19</t>
  </si>
  <si>
    <t>12/02/20</t>
  </si>
  <si>
    <t>08/10/23</t>
  </si>
  <si>
    <t>26/09/25</t>
  </si>
  <si>
    <t>15/03/26</t>
  </si>
  <si>
    <t>04/10/17</t>
  </si>
  <si>
    <t>31/08/24</t>
  </si>
  <si>
    <t>22/05/19</t>
  </si>
  <si>
    <t>20/09/24</t>
  </si>
  <si>
    <t>07/08/20</t>
  </si>
  <si>
    <t>11/11/20</t>
  </si>
  <si>
    <t>30/08/21</t>
  </si>
  <si>
    <t>02/04/26</t>
  </si>
  <si>
    <t>21/10/22</t>
  </si>
  <si>
    <t>01/07/17</t>
  </si>
  <si>
    <t>07/04/24</t>
  </si>
  <si>
    <t>09/02/23</t>
  </si>
  <si>
    <t>24/03/23</t>
  </si>
  <si>
    <t>01/05/24</t>
  </si>
  <si>
    <t>31/01/24</t>
  </si>
  <si>
    <t>03/08/17</t>
  </si>
  <si>
    <t>06/09/25</t>
  </si>
  <si>
    <t>11/01/20</t>
  </si>
  <si>
    <t>20/11/25</t>
  </si>
  <si>
    <t>07/06/23</t>
  </si>
  <si>
    <t>27/04/24</t>
  </si>
  <si>
    <t>08/01/19</t>
  </si>
  <si>
    <t>22/04/20</t>
  </si>
  <si>
    <t>27/04/19</t>
  </si>
  <si>
    <t>28/01/21</t>
  </si>
  <si>
    <t>22/08/23</t>
  </si>
  <si>
    <t>03/10/19</t>
  </si>
  <si>
    <t>05/02/21</t>
  </si>
  <si>
    <t>01/03/24</t>
  </si>
  <si>
    <t>12/05/25</t>
  </si>
  <si>
    <t>28/02/17</t>
  </si>
  <si>
    <t>11/04/17</t>
  </si>
  <si>
    <t>14/08/21</t>
  </si>
  <si>
    <t>15/11/23</t>
  </si>
  <si>
    <t>19/10/23</t>
  </si>
  <si>
    <t>01/01/19</t>
  </si>
  <si>
    <t>11/08/22</t>
  </si>
  <si>
    <t>26/03/24</t>
  </si>
  <si>
    <t>13/02/23</t>
  </si>
  <si>
    <t>04/03/21</t>
  </si>
  <si>
    <t>26/09/16</t>
  </si>
  <si>
    <t>26/05/21</t>
  </si>
  <si>
    <t>31/12/19</t>
  </si>
  <si>
    <t>29/05/18</t>
  </si>
  <si>
    <t>17/05/21</t>
  </si>
  <si>
    <t>26/08/18</t>
  </si>
  <si>
    <t>02/01/21</t>
  </si>
  <si>
    <t>03/11/23</t>
  </si>
  <si>
    <t>13/04/21</t>
  </si>
  <si>
    <t>26/01/17</t>
  </si>
  <si>
    <t>06/05/25</t>
  </si>
  <si>
    <t>26/11/22</t>
  </si>
  <si>
    <t>20/08/21</t>
  </si>
  <si>
    <t>07/01/17</t>
  </si>
  <si>
    <t>12/11/23</t>
  </si>
  <si>
    <t>02/09/21</t>
  </si>
  <si>
    <t>21/08/23</t>
  </si>
  <si>
    <t>07/04/21</t>
  </si>
  <si>
    <t>09/07/17</t>
  </si>
  <si>
    <t>03/01/23</t>
  </si>
  <si>
    <t>25/07/25</t>
  </si>
  <si>
    <t>25/10/16</t>
  </si>
  <si>
    <t>10/12/16</t>
  </si>
  <si>
    <t>23/08/20</t>
  </si>
  <si>
    <t>02/01/22</t>
  </si>
  <si>
    <t>19/10/17</t>
  </si>
  <si>
    <t>19/11/25</t>
  </si>
  <si>
    <t>24/12/18</t>
  </si>
  <si>
    <t>31/07/20</t>
  </si>
  <si>
    <t>19/08/20</t>
  </si>
  <si>
    <t>28/08/19</t>
  </si>
  <si>
    <t>15/01/22</t>
  </si>
  <si>
    <t>05/03/26</t>
  </si>
  <si>
    <t>09/04/24</t>
  </si>
  <si>
    <t>24/01/24</t>
  </si>
  <si>
    <t>30/01/21</t>
  </si>
  <si>
    <t>18/04/26</t>
  </si>
  <si>
    <t>26/03/17</t>
  </si>
  <si>
    <t>29/10/16</t>
  </si>
  <si>
    <t>PEP_ID</t>
  </si>
  <si>
    <t>Date of Assuming Office</t>
  </si>
  <si>
    <t>Date of Leaving Office</t>
  </si>
  <si>
    <t>PEP-0001</t>
  </si>
  <si>
    <t>PEP-0002</t>
  </si>
  <si>
    <t>PEP-0003</t>
  </si>
  <si>
    <t>PEP-0004</t>
  </si>
  <si>
    <t>PEP-0005</t>
  </si>
  <si>
    <t>PEP-0006</t>
  </si>
  <si>
    <t>PEP-0007</t>
  </si>
  <si>
    <t>PEP-0008</t>
  </si>
  <si>
    <t>PEP-0009</t>
  </si>
  <si>
    <t>PEP-0010</t>
  </si>
  <si>
    <t>PEP-0011</t>
  </si>
  <si>
    <t>PEP-0012</t>
  </si>
  <si>
    <t>PEP-0013</t>
  </si>
  <si>
    <t>PEP-0014</t>
  </si>
  <si>
    <t>PEP-0015</t>
  </si>
  <si>
    <t>PEP-0016</t>
  </si>
  <si>
    <t>PEP-0017</t>
  </si>
  <si>
    <t>PEP-0018</t>
  </si>
  <si>
    <t>PEP-0019</t>
  </si>
  <si>
    <t>PEP-0020</t>
  </si>
  <si>
    <t>PEP-0021</t>
  </si>
  <si>
    <t>PEP-0022</t>
  </si>
  <si>
    <t>PEP-0023</t>
  </si>
  <si>
    <t>PEP-0024</t>
  </si>
  <si>
    <t>PEP-0025</t>
  </si>
  <si>
    <t>PEP-0026</t>
  </si>
  <si>
    <t>PEP-0027</t>
  </si>
  <si>
    <t>PEP-0028</t>
  </si>
  <si>
    <t>PEP-0029</t>
  </si>
  <si>
    <t>PEP-0030</t>
  </si>
  <si>
    <t>PEP-0031</t>
  </si>
  <si>
    <t>PEP-0032</t>
  </si>
  <si>
    <t>PEP-0033</t>
  </si>
  <si>
    <t>PEP-0034</t>
  </si>
  <si>
    <t>PEP-0035</t>
  </si>
  <si>
    <t>PEP-0036</t>
  </si>
  <si>
    <t>PEP-0037</t>
  </si>
  <si>
    <t>PEP-0038</t>
  </si>
  <si>
    <t>PEP-0039</t>
  </si>
  <si>
    <t>PEP-0040</t>
  </si>
  <si>
    <t>PEP-0041</t>
  </si>
  <si>
    <t>PEP-0042</t>
  </si>
  <si>
    <t>PEP-0043</t>
  </si>
  <si>
    <t>PEP-0044</t>
  </si>
  <si>
    <t>PEP-0045</t>
  </si>
  <si>
    <t>PEP-0046</t>
  </si>
  <si>
    <t>PEP-0047</t>
  </si>
  <si>
    <t>PEP-0048</t>
  </si>
  <si>
    <t>PEP-0049</t>
  </si>
  <si>
    <t>PEP-0050</t>
  </si>
  <si>
    <t>PEP-0051</t>
  </si>
  <si>
    <t>PEP-0052</t>
  </si>
  <si>
    <t>PEP-0053</t>
  </si>
  <si>
    <t>PEP-0054</t>
  </si>
  <si>
    <t>PEP-0055</t>
  </si>
  <si>
    <t>PEP-0056</t>
  </si>
  <si>
    <t>PEP-0057</t>
  </si>
  <si>
    <t>PEP-0058</t>
  </si>
  <si>
    <t>PEP-0059</t>
  </si>
  <si>
    <t>PEP-0060</t>
  </si>
  <si>
    <t>PEP-0061</t>
  </si>
  <si>
    <t>PEP-0062</t>
  </si>
  <si>
    <t>PEP-0063</t>
  </si>
  <si>
    <t>PEP-0064</t>
  </si>
  <si>
    <t>PEP-0065</t>
  </si>
  <si>
    <t>PEP-0066</t>
  </si>
  <si>
    <t>PEP-0067</t>
  </si>
  <si>
    <t>PEP-0068</t>
  </si>
  <si>
    <t>PEP-0069</t>
  </si>
  <si>
    <t>PEP-0070</t>
  </si>
  <si>
    <t>PEP-0071</t>
  </si>
  <si>
    <t>PEP-0072</t>
  </si>
  <si>
    <t>PEP-0073</t>
  </si>
  <si>
    <t>PEP-0074</t>
  </si>
  <si>
    <t>PEP-0075</t>
  </si>
  <si>
    <t>PEP-0076</t>
  </si>
  <si>
    <t>PEP-0077</t>
  </si>
  <si>
    <t>PEP-0078</t>
  </si>
  <si>
    <t>PEP-0079</t>
  </si>
  <si>
    <t>PEP-0080</t>
  </si>
  <si>
    <t>PEP-0081</t>
  </si>
  <si>
    <t>PEP-0082</t>
  </si>
  <si>
    <t>PEP-0083</t>
  </si>
  <si>
    <t>PEP-0084</t>
  </si>
  <si>
    <t>PEP-0085</t>
  </si>
  <si>
    <t>PEP-0086</t>
  </si>
  <si>
    <t>PEP-0087</t>
  </si>
  <si>
    <t>PEP-0088</t>
  </si>
  <si>
    <t>PEP-0089</t>
  </si>
  <si>
    <t>PEP-0090</t>
  </si>
  <si>
    <t>PEP-0091</t>
  </si>
  <si>
    <t>PEP-0092</t>
  </si>
  <si>
    <t>PEP-0093</t>
  </si>
  <si>
    <t>PEP-0094</t>
  </si>
  <si>
    <t>PEP-0095</t>
  </si>
  <si>
    <t>PEP-0096</t>
  </si>
  <si>
    <t>PEP-0097</t>
  </si>
  <si>
    <t>PEP-0098</t>
  </si>
  <si>
    <t>PEP-0099</t>
  </si>
  <si>
    <t>PEP-0100</t>
  </si>
  <si>
    <t>PEP-0101</t>
  </si>
  <si>
    <t>PEP-0102</t>
  </si>
  <si>
    <t>PEP-0103</t>
  </si>
  <si>
    <t>PEP-0104</t>
  </si>
  <si>
    <t>PEP-0105</t>
  </si>
  <si>
    <t>PEP-0106</t>
  </si>
  <si>
    <t>PEP-0107</t>
  </si>
  <si>
    <t>PEP-0108</t>
  </si>
  <si>
    <t>PEP-0109</t>
  </si>
  <si>
    <t>PEP-0110</t>
  </si>
  <si>
    <t>PEP-0111</t>
  </si>
  <si>
    <t>PEP-0112</t>
  </si>
  <si>
    <t>PEP-0113</t>
  </si>
  <si>
    <t>PEP-0114</t>
  </si>
  <si>
    <t>PEP-0115</t>
  </si>
  <si>
    <t>PEP-0116</t>
  </si>
  <si>
    <t>PEP-0117</t>
  </si>
  <si>
    <t>PEP-0118</t>
  </si>
  <si>
    <t>PEP-0119</t>
  </si>
  <si>
    <t>PEP-0120</t>
  </si>
  <si>
    <t>PEP-0121</t>
  </si>
  <si>
    <t>PEP-0122</t>
  </si>
  <si>
    <t>PEP-0123</t>
  </si>
  <si>
    <t>PEP-0124</t>
  </si>
  <si>
    <t>PEP-0125</t>
  </si>
  <si>
    <t>PEP-0126</t>
  </si>
  <si>
    <t>PEP-0127</t>
  </si>
  <si>
    <t>PEP-0128</t>
  </si>
  <si>
    <t>PEP-0129</t>
  </si>
  <si>
    <t>PEP-0130</t>
  </si>
  <si>
    <t>PEP-0131</t>
  </si>
  <si>
    <t>PEP-0132</t>
  </si>
  <si>
    <t>PEP-0133</t>
  </si>
  <si>
    <t>PEP-0134</t>
  </si>
  <si>
    <t>PEP-0135</t>
  </si>
  <si>
    <t>PEP-0136</t>
  </si>
  <si>
    <t>PEP-0137</t>
  </si>
  <si>
    <t>PEP-0138</t>
  </si>
  <si>
    <t>PEP-0139</t>
  </si>
  <si>
    <t>PEP-0140</t>
  </si>
  <si>
    <t>PEP-0141</t>
  </si>
  <si>
    <t>PEP-0142</t>
  </si>
  <si>
    <t>PEP-0143</t>
  </si>
  <si>
    <t>PEP-0144</t>
  </si>
  <si>
    <t>PEP-0145</t>
  </si>
  <si>
    <t>PEP-0146</t>
  </si>
  <si>
    <t>PEP-0147</t>
  </si>
  <si>
    <t>PEP-0148</t>
  </si>
  <si>
    <t>PEP-0149</t>
  </si>
  <si>
    <t>PEP-0150</t>
  </si>
  <si>
    <t>PEP-0151</t>
  </si>
  <si>
    <t>PEP-0152</t>
  </si>
  <si>
    <t>PEP-0153</t>
  </si>
  <si>
    <t>PEP-0154</t>
  </si>
  <si>
    <t>PEP-0155</t>
  </si>
  <si>
    <t>PEP-0156</t>
  </si>
  <si>
    <t>PEP-0157</t>
  </si>
  <si>
    <t>PEP-0158</t>
  </si>
  <si>
    <t>PEP-0159</t>
  </si>
  <si>
    <t>PEP-0160</t>
  </si>
  <si>
    <t>PEP-0161</t>
  </si>
  <si>
    <t>PEP-0162</t>
  </si>
  <si>
    <t>PEP-0163</t>
  </si>
  <si>
    <t>PEP-0164</t>
  </si>
  <si>
    <t>PEP-0165</t>
  </si>
  <si>
    <t>PEP-0166</t>
  </si>
  <si>
    <t>PEP-0167</t>
  </si>
  <si>
    <t>PEP-0168</t>
  </si>
  <si>
    <t>PEP-0169</t>
  </si>
  <si>
    <t>PEP-0170</t>
  </si>
  <si>
    <t>PEP-0171</t>
  </si>
  <si>
    <t>PEP-0172</t>
  </si>
  <si>
    <t>PEP-0173</t>
  </si>
  <si>
    <t>PEP-0174</t>
  </si>
  <si>
    <t>PEP-0175</t>
  </si>
  <si>
    <t>PEP-0176</t>
  </si>
  <si>
    <t>PEP-0177</t>
  </si>
  <si>
    <t>PEP-0178</t>
  </si>
  <si>
    <t>PEP-0179</t>
  </si>
  <si>
    <t>PEP-0180</t>
  </si>
  <si>
    <t>PEP-0181</t>
  </si>
  <si>
    <t>PEP-0182</t>
  </si>
  <si>
    <t>PEP-0183</t>
  </si>
  <si>
    <t>PEP-0184</t>
  </si>
  <si>
    <t>PEP-0185</t>
  </si>
  <si>
    <t>PEP-0186</t>
  </si>
  <si>
    <t>PEP-0187</t>
  </si>
  <si>
    <t>PEP-0188</t>
  </si>
  <si>
    <t>PEP-0189</t>
  </si>
  <si>
    <t>14/03/18</t>
  </si>
  <si>
    <t>18/02/22</t>
  </si>
  <si>
    <t>25/08/17</t>
  </si>
  <si>
    <t>10/07/19</t>
  </si>
  <si>
    <t>08/07/23</t>
  </si>
  <si>
    <t>04/12/20</t>
  </si>
  <si>
    <t>18/12/20</t>
  </si>
  <si>
    <t>Present</t>
  </si>
  <si>
    <t>22/09/16</t>
  </si>
  <si>
    <t>31/10/24</t>
  </si>
  <si>
    <t>13/03/24</t>
  </si>
  <si>
    <t>16/02/24</t>
  </si>
  <si>
    <t>06/12/17</t>
  </si>
  <si>
    <t>21/09/22</t>
  </si>
  <si>
    <t>28/10/18</t>
  </si>
  <si>
    <t>23/12/22</t>
  </si>
  <si>
    <t>12/01/17</t>
  </si>
  <si>
    <t>01/01/22</t>
  </si>
  <si>
    <t>18/01/17</t>
  </si>
  <si>
    <t>22/08/19</t>
  </si>
  <si>
    <t>16/04/26</t>
  </si>
  <si>
    <t>07/01/18</t>
  </si>
  <si>
    <t>16/01/25</t>
  </si>
  <si>
    <t>30/10/25</t>
  </si>
  <si>
    <t>06/12/21</t>
  </si>
  <si>
    <t>20/12/22</t>
  </si>
  <si>
    <t>05/09/24</t>
  </si>
  <si>
    <t>04/09/21</t>
  </si>
  <si>
    <t>07/10/25</t>
  </si>
  <si>
    <t>10/10/17</t>
  </si>
  <si>
    <t>25/09/16</t>
  </si>
  <si>
    <t>22/11/22</t>
  </si>
  <si>
    <t>20/07/19</t>
  </si>
  <si>
    <t>30/06/18</t>
  </si>
  <si>
    <t>11/11/16</t>
  </si>
  <si>
    <t>03/07/25</t>
  </si>
  <si>
    <t>HRJ_ID</t>
  </si>
  <si>
    <t>Risk Level</t>
  </si>
  <si>
    <t>Reason / Notes</t>
  </si>
  <si>
    <t>HRJ-0001</t>
  </si>
  <si>
    <t>HRJ-0003</t>
  </si>
  <si>
    <t>HRJ-0004</t>
  </si>
  <si>
    <t>HRJ-0011</t>
  </si>
  <si>
    <t>HRJ-0012</t>
  </si>
  <si>
    <t>HRJ-0014</t>
  </si>
  <si>
    <t>HRJ-0016</t>
  </si>
  <si>
    <t>HRJ-0017</t>
  </si>
  <si>
    <t>HRJ-0018</t>
  </si>
  <si>
    <t>HRJ-0019</t>
  </si>
  <si>
    <t>Critical</t>
  </si>
  <si>
    <t>Low</t>
  </si>
  <si>
    <t>High</t>
  </si>
  <si>
    <t>Medium</t>
  </si>
  <si>
    <t>Political Instability</t>
  </si>
  <si>
    <t>Sanctions Evasion</t>
  </si>
  <si>
    <t>Terror Financing</t>
  </si>
  <si>
    <t>11/03/26</t>
  </si>
  <si>
    <t>31/01/25</t>
  </si>
  <si>
    <t>21/06/26</t>
  </si>
  <si>
    <t>28/02/18</t>
  </si>
  <si>
    <t>17/11/25</t>
  </si>
  <si>
    <t>04/12/18</t>
  </si>
  <si>
    <t>25/04/22</t>
  </si>
  <si>
    <t>08/09/20</t>
  </si>
  <si>
    <t>05/10/25</t>
  </si>
  <si>
    <t>24/04/25</t>
  </si>
  <si>
    <t>08/02/18</t>
  </si>
  <si>
    <t>24/10/18</t>
  </si>
  <si>
    <t>09/02/21</t>
  </si>
  <si>
    <t>13/04/19</t>
  </si>
  <si>
    <t>08/06/20</t>
  </si>
  <si>
    <t>06/07/19</t>
  </si>
  <si>
    <t>20/08/23</t>
  </si>
  <si>
    <t>23/03/24</t>
  </si>
  <si>
    <t>21/10/23</t>
  </si>
  <si>
    <t>08/02/24</t>
  </si>
  <si>
    <t>17/02/17</t>
  </si>
  <si>
    <t>20/07/23</t>
  </si>
  <si>
    <t>21/07/19</t>
  </si>
  <si>
    <t>26/02/20</t>
  </si>
  <si>
    <t>30/07/18</t>
  </si>
  <si>
    <t>26/07/20</t>
  </si>
  <si>
    <t>15/02/18</t>
  </si>
  <si>
    <t>29/08/21</t>
  </si>
  <si>
    <t>15/01/20</t>
  </si>
  <si>
    <t>13/07/18</t>
  </si>
  <si>
    <t>21/10/16</t>
  </si>
  <si>
    <t>19/11/23</t>
  </si>
  <si>
    <t>11/12/21</t>
  </si>
  <si>
    <t>30/04/22</t>
  </si>
  <si>
    <t>20/02/17</t>
  </si>
  <si>
    <t>23/08/22</t>
  </si>
  <si>
    <t>22/06/25</t>
  </si>
  <si>
    <t>08/06/23</t>
  </si>
  <si>
    <t>16/02/17</t>
  </si>
  <si>
    <t>22/06/18</t>
  </si>
  <si>
    <t>Media_ID</t>
  </si>
  <si>
    <t>Media Source</t>
  </si>
  <si>
    <t>Issue / Allegation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</si>
  <si>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</si>
  <si>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</si>
  <si>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</si>
  <si>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</si>
  <si>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</si>
  <si>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</si>
  <si>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</si>
  <si>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</si>
  <si>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</si>
  <si>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</si>
  <si>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</si>
  <si>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</si>
  <si>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</si>
  <si>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</si>
  <si>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</si>
  <si>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</si>
  <si>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</si>
  <si>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</si>
  <si>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</si>
  <si>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</si>
  <si>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</si>
  <si>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</si>
  <si>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</si>
  <si>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</si>
  <si>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</si>
  <si>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</si>
  <si>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</si>
  <si>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</si>
  <si>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</si>
  <si>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</si>
  <si>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</si>
  <si>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</si>
  <si>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</si>
  <si>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</si>
  <si>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</si>
  <si>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</si>
  <si>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</si>
  <si>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</si>
  <si>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</si>
  <si>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</si>
  <si>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</si>
  <si>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</si>
  <si>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</si>
  <si>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</si>
  <si>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</si>
  <si>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</si>
  <si>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</si>
  <si>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</si>
  <si>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</si>
  <si>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</si>
  <si>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</si>
  <si>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</si>
  <si>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</si>
  <si>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</si>
  <si>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</si>
  <si>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</si>
  <si>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</si>
  <si>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</si>
  <si>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</si>
  <si>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</si>
  <si>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</si>
  <si>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</si>
  <si>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</si>
  <si>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</si>
  <si>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</si>
  <si>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</si>
  <si>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</si>
  <si>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</si>
  <si>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</si>
  <si>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</si>
  <si>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</si>
  <si>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</si>
  <si>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</si>
  <si>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</si>
  <si>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</si>
  <si>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</si>
  <si>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</si>
  <si>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</si>
  <si>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</si>
  <si>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</si>
  <si>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</si>
  <si>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</si>
  <si>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</si>
  <si>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</si>
  <si>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</si>
  <si>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</si>
  <si>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</si>
  <si>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</si>
  <si>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</si>
  <si>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</si>
  <si>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</si>
  <si>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</si>
  <si>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</si>
  <si>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</si>
  <si>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</si>
  <si>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</si>
  <si>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</si>
  <si>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</si>
  <si>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</si>
  <si>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</si>
  <si>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</si>
  <si>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</si>
  <si>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</si>
  <si>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</si>
  <si>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</si>
  <si>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</si>
  <si>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</si>
  <si>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</si>
  <si>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</si>
  <si>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</si>
  <si>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</si>
  <si>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</si>
  <si>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</si>
  <si>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</si>
  <si>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</si>
  <si>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</si>
  <si>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</si>
  <si>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</si>
  <si>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</si>
  <si>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</si>
  <si>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</si>
  <si>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</si>
  <si>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</si>
  <si>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</si>
  <si>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</si>
  <si>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</si>
  <si>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</si>
  <si>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</si>
  <si>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</si>
  <si>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</si>
  <si>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</si>
  <si>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</si>
  <si>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</si>
  <si>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</si>
  <si>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</si>
  <si>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</si>
  <si>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</si>
  <si>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</si>
  <si>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</si>
  <si>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</si>
  <si>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</si>
  <si>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</si>
  <si>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</si>
  <si>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</si>
  <si>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</si>
  <si>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</si>
  <si>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</si>
  <si>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</si>
  <si>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</si>
  <si>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</si>
  <si>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</si>
  <si>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</si>
  <si>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</si>
  <si>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</si>
  <si>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</si>
  <si>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</si>
  <si>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</si>
  <si>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</si>
  <si>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</si>
  <si>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</si>
  <si>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</si>
  <si>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</si>
  <si>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</si>
  <si>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</si>
  <si>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</si>
  <si>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</si>
  <si>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</si>
  <si>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</si>
  <si>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</si>
  <si>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</si>
  <si>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</si>
  <si>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</si>
  <si>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</si>
  <si>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</si>
  <si>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</si>
  <si>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</si>
  <si>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</si>
  <si>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</si>
  <si>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</si>
  <si>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</si>
  <si>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</si>
  <si>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</si>
  <si>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</si>
  <si>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</si>
  <si>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</si>
  <si>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</si>
  <si>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</si>
  <si>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</si>
  <si>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</si>
  <si>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</si>
  <si>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</si>
  <si>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</si>
  <si>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</si>
  <si>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</si>
  <si>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</si>
  <si>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</si>
  <si>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</si>
  <si>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</si>
  <si>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</si>
  <si>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</si>
  <si>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</si>
  <si>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</si>
  <si>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</si>
  <si>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</si>
  <si>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</si>
  <si>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</si>
  <si>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</si>
  <si>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</si>
  <si>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</si>
  <si>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</si>
  <si>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</si>
  <si>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</si>
  <si>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</si>
  <si>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</si>
  <si>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Reuters</t>
  </si>
  <si>
    <t>Al Jazeera</t>
  </si>
  <si>
    <t>Financial Times</t>
  </si>
  <si>
    <t>Bloomberg</t>
  </si>
  <si>
    <t>BBC</t>
  </si>
  <si>
    <t>CNN</t>
  </si>
  <si>
    <t>Corruption</t>
  </si>
  <si>
    <t>Bribery</t>
  </si>
  <si>
    <t>Fraud</t>
  </si>
  <si>
    <t>Money Laundering</t>
  </si>
  <si>
    <t>14/11/22</t>
  </si>
  <si>
    <t>14/02/22</t>
  </si>
  <si>
    <t>05/10/20</t>
  </si>
  <si>
    <t>27/11/20</t>
  </si>
  <si>
    <t>11/02/17</t>
  </si>
  <si>
    <t>08/06/25</t>
  </si>
  <si>
    <t>16/11/20</t>
  </si>
  <si>
    <t>29/01/24</t>
  </si>
  <si>
    <t>07/09/21</t>
  </si>
  <si>
    <t>27/06/18</t>
  </si>
  <si>
    <t>04/08/25</t>
  </si>
  <si>
    <t>17/04/18</t>
  </si>
  <si>
    <t>02/05/23</t>
  </si>
  <si>
    <t>10/01/26</t>
  </si>
  <si>
    <t>22/07/22</t>
  </si>
  <si>
    <t>26/10/20</t>
  </si>
  <si>
    <t>18/06/18</t>
  </si>
  <si>
    <t>01/02/23</t>
  </si>
  <si>
    <t>27/02/18</t>
  </si>
  <si>
    <t>16/01/22</t>
  </si>
  <si>
    <t>06/08/20</t>
  </si>
  <si>
    <t>31/12/16</t>
  </si>
  <si>
    <t>16/11/22</t>
  </si>
  <si>
    <t>26/08/22</t>
  </si>
  <si>
    <t>13/11/18</t>
  </si>
  <si>
    <t>18/01/23</t>
  </si>
  <si>
    <t>17/11/22</t>
  </si>
  <si>
    <t>20/03/26</t>
  </si>
  <si>
    <t>14/01/25</t>
  </si>
  <si>
    <t>23/05/26</t>
  </si>
  <si>
    <t>30/10/18</t>
  </si>
  <si>
    <t>21/07/23</t>
  </si>
  <si>
    <t>22/12/17</t>
  </si>
  <si>
    <t>11/01/26</t>
  </si>
  <si>
    <t>15/09/23</t>
  </si>
  <si>
    <t>05/06/17</t>
  </si>
  <si>
    <t>10/05/26</t>
  </si>
  <si>
    <t>28/04/26</t>
  </si>
  <si>
    <t>27/11/19</t>
  </si>
  <si>
    <t>27/02/23</t>
  </si>
  <si>
    <t>17/12/22</t>
  </si>
  <si>
    <t>10/02/25</t>
  </si>
  <si>
    <t>11/07/23</t>
  </si>
  <si>
    <t>26/09/24</t>
  </si>
  <si>
    <t>21/07/26</t>
  </si>
  <si>
    <t>18/05/23</t>
  </si>
  <si>
    <t>07/12/24</t>
  </si>
  <si>
    <t>11/10/21</t>
  </si>
  <si>
    <t>12/02/22</t>
  </si>
  <si>
    <t>25/10/17</t>
  </si>
  <si>
    <t>10/11/25</t>
  </si>
  <si>
    <t>21/06/22</t>
  </si>
  <si>
    <t>15/05/24</t>
  </si>
  <si>
    <t>27/08/23</t>
  </si>
  <si>
    <t>03/02/24</t>
  </si>
  <si>
    <t>07/11/16</t>
  </si>
  <si>
    <t>11/06/17</t>
  </si>
  <si>
    <t>19/01/18</t>
  </si>
  <si>
    <t>09/09/16</t>
  </si>
  <si>
    <t>03/12/24</t>
  </si>
  <si>
    <t>18/09/17</t>
  </si>
  <si>
    <t>30/03/25</t>
  </si>
  <si>
    <t>10/07/21</t>
  </si>
  <si>
    <t>20/11/22</t>
  </si>
  <si>
    <t>03/09/19</t>
  </si>
  <si>
    <t>03/03/19</t>
  </si>
  <si>
    <t>09/01/25</t>
  </si>
  <si>
    <t>21/12/19</t>
  </si>
  <si>
    <t>01/02/24</t>
  </si>
  <si>
    <t>12/06/20</t>
  </si>
  <si>
    <t>03/11/22</t>
  </si>
  <si>
    <t>27/12/16</t>
  </si>
  <si>
    <t>24/05/21</t>
  </si>
  <si>
    <t>27/09/18</t>
  </si>
  <si>
    <t>11/07/25</t>
  </si>
  <si>
    <t>23/04/21</t>
  </si>
  <si>
    <t>09/05/20</t>
  </si>
  <si>
    <t>23/12/16</t>
  </si>
  <si>
    <t>03/04/22</t>
  </si>
  <si>
    <t>03/03/17</t>
  </si>
  <si>
    <t>05/05/21</t>
  </si>
  <si>
    <t>16/09/17</t>
  </si>
  <si>
    <t>06/07/26</t>
  </si>
  <si>
    <t>29/07/19</t>
  </si>
  <si>
    <t>18/06/26</t>
  </si>
  <si>
    <t>28/03/24</t>
  </si>
  <si>
    <t>03/10/16</t>
  </si>
  <si>
    <t>28/12/20</t>
  </si>
  <si>
    <t>08/10/21</t>
  </si>
  <si>
    <t>23/01/20</t>
  </si>
  <si>
    <t>09/06/20</t>
  </si>
  <si>
    <t>29/01/20</t>
  </si>
  <si>
    <t>08/11/24</t>
  </si>
  <si>
    <t>13/01/20</t>
  </si>
  <si>
    <t>09/03/25</t>
  </si>
  <si>
    <t>02/10/25</t>
  </si>
  <si>
    <t>23/03/17</t>
  </si>
  <si>
    <t>21/06/23</t>
  </si>
  <si>
    <t>07/02/24</t>
  </si>
  <si>
    <t>03/05/17</t>
  </si>
  <si>
    <t>20/03/24</t>
  </si>
  <si>
    <t>21/03/24</t>
  </si>
  <si>
    <t>11/05/17</t>
  </si>
  <si>
    <t>08/08/25</t>
  </si>
  <si>
    <t>08/09/19</t>
  </si>
  <si>
    <t>08/03/22</t>
  </si>
  <si>
    <t>23/04/17</t>
  </si>
  <si>
    <t>07/11/24</t>
  </si>
  <si>
    <t>05/08/22</t>
  </si>
  <si>
    <t>11/02/19</t>
  </si>
  <si>
    <t>21/02/21</t>
  </si>
  <si>
    <t>31/07/17</t>
  </si>
  <si>
    <t>23/02/23</t>
  </si>
  <si>
    <t>23/08/18</t>
  </si>
  <si>
    <t>23/05/24</t>
  </si>
  <si>
    <t>06/06/24</t>
  </si>
  <si>
    <t>03/02/25</t>
  </si>
  <si>
    <t>High Risk Country</t>
  </si>
  <si>
    <t>Risk Score</t>
  </si>
  <si>
    <t>Position / Role</t>
  </si>
  <si>
    <t>Parliament Member</t>
  </si>
  <si>
    <t>Minister</t>
  </si>
  <si>
    <t>Governor</t>
  </si>
  <si>
    <t>Ambassador</t>
  </si>
  <si>
    <t>Entity_ID</t>
  </si>
  <si>
    <t>HRJ-0002</t>
  </si>
  <si>
    <t>HRJ-0005</t>
  </si>
  <si>
    <t>HRJ-0006</t>
  </si>
  <si>
    <t>HRJ-0007</t>
  </si>
  <si>
    <t>HRJ-0008</t>
  </si>
  <si>
    <t>HRJ-0009</t>
  </si>
  <si>
    <t>HRJ-0010</t>
  </si>
  <si>
    <t>HRJ-0013</t>
  </si>
  <si>
    <t>HRJ-0015</t>
  </si>
  <si>
    <t>HRJ-0020</t>
  </si>
  <si>
    <t>HRJ-0021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</si>
</sst>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D99CE9-9DB7-4655-BCD8-A364E10208F8}" name="Table310" displayName="Table310" ref="A1:L651" totalsRowShown="0">
  <autoFilter ref="A1:L651" xr:uid="{9ED99CE9-9DB7-4655-BCD8-A364E10208F8}"/>
  <tableColumns count="12">
    <tableColumn id="1" xr3:uid="{89BC8CF4-10B0-4AE6-B894-15AF15731933}" name="Entity_ID"/>
    <tableColumn id="2" xr3:uid="{B9E7CEAC-0D80-4E15-AF5E-BCE0BE0E55DB}" name="Entity Name"/>
    <tableColumn id="12" xr3:uid="{658F1F6E-A750-4511-8D49-AD90C0DEC433}" name="Entity Type"/>
    <tableColumn id="3" xr3:uid="{AB984E9D-022F-4CD0-812E-3B9B32344F13}" name="Country"/>
    <tableColumn id="7" xr3:uid="{E3CBCA12-16FA-4122-82DD-3965BAE740D4}" name="Date Added"/>
    <tableColumn id="8" xr3:uid="{2B048B73-A27C-4A32-ADCE-63C849D7B367}" name="Date of Last Review"/>
    <tableColumn id="9" xr3:uid="{E7C7FD8A-F492-4681-9B64-DCE8E47885F3}" name="Adverse Media"/>
    <tableColumn id="10" xr3:uid="{2934CEE9-0A71-4272-B31D-1C8397F182A2}" name="PEP"/>
    <tableColumn id="11" xr3:uid="{979137E2-A122-4E13-9BE6-B4703755C6B6}" name="Sanctions"/>
    <tableColumn id="13" xr3:uid="{C7AC6A2E-C65B-49F1-A2C3-5094B29FF490}" name="High Risk Country" dataDxfId="5">
      <calculatedColumnFormula>IF(COUNTIF(Table5[Country],Table310[Country])&gt;0,"Y","N")</calculatedColumnFormula>
    </tableColumn>
    <tableColumn id="4" xr3:uid="{F48A5703-E200-4DB8-8DB7-5356BF5A1B4A}" name="Risk Score" dataDxfId="0">
      <calculatedColumnFormula>IF(Table310[[#This Row],[Adverse Media]]="Y",15,0)+IF(Table310[[#This Row],[PEP]]="Y",50,0)+IF(Table310[[#This Row],[Sanctions]]="Y",70,0)+IF(Table310[[#This Row],[High Risk Country]]="Y",25,0)</calculatedColumnFormula>
    </tableColumn>
    <tableColumn id="5" xr3:uid="{4259C235-E419-43B1-8551-C9A5E5D837D8}" name="Risk Level" dataDxfId="4">
      <calculatedColumnFormula>_xlfn.IFS(Table310[[#This Row],[Risk Score]]&gt;=85,"Critical",Table310[[#This Row],[Risk Score]]&gt;=65,"High",Table310[[#This Row],[Risk Score]]&gt;=45,"Medium",TRUE,"Low")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6A7BFF-C01F-42FB-A698-8A9C4141F474}" name="Table3" displayName="Table3" ref="A1:K301" totalsRowShown="0">
  <autoFilter ref="A1:K301" xr:uid="{746A7BFF-C01F-42FB-A698-8A9C4141F474}"/>
  <tableColumns count="11">
    <tableColumn id="1" xr3:uid="{151EECC5-82AF-47B7-96DF-73121659AC7F}" name="Corporate_ID"/>
    <tableColumn id="2" xr3:uid="{0C6EDDAB-C275-4DF7-A19A-9BCCB7482078}" name="Corporate Name"/>
    <tableColumn id="3" xr3:uid="{26F8F7CC-6D9D-47C5-9A7E-82FE6DAD4533}" name="Country"/>
    <tableColumn id="4" xr3:uid="{26DAC85F-08FE-4D96-B2A3-8114C11D58A1}" name="Nature of Business"/>
    <tableColumn id="5" xr3:uid="{49B3A0CB-DA3D-42D2-9F47-C93E58346C79}" name="RC Number"/>
    <tableColumn id="6" xr3:uid="{8ECDBFC9-EC90-4451-95C2-964668D6ACCC}" name="Date of Incorporation"/>
    <tableColumn id="7" xr3:uid="{5B66DBCB-3B60-4903-A79B-AF6AF9CC2B7C}" name="Date Added"/>
    <tableColumn id="8" xr3:uid="{D14FD2E1-5A2E-4307-8B58-AAE864AA8D59}" name="Date of Last Review"/>
    <tableColumn id="9" xr3:uid="{AF1891C8-351F-492E-8DA2-BE523388131E}" name="Adverse Media"/>
    <tableColumn id="10" xr3:uid="{DE276817-2854-4B4A-AA91-54108F4127CA}" name="PEP"/>
    <tableColumn id="11" xr3:uid="{369C13E6-2392-4B42-B531-BA33F82FCC70}" name="Sanc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7700A-B8D8-4374-ABAA-5D4F3E0B7995}" name="Table2" displayName="Table2" ref="A1:K351" totalsRowShown="0">
  <autoFilter ref="A1:K351" xr:uid="{1197700A-B8D8-4374-ABAA-5D4F3E0B7995}"/>
  <tableColumns count="11">
    <tableColumn id="1" xr3:uid="{1CE200CA-EF84-430C-A8E7-E84AD14B71DB}" name="Individual_ID"/>
    <tableColumn id="2" xr3:uid="{87BB0C50-552A-4A3F-BE69-5CC3EA010261}" name="Individual Name"/>
    <tableColumn id="3" xr3:uid="{6AF9E344-1984-46FA-B5DE-97AF95AF4039}" name="Country"/>
    <tableColumn id="4" xr3:uid="{20C0DAC5-04F0-4312-AF2B-D61EFD59B8E8}" name="Last Means of ID"/>
    <tableColumn id="5" xr3:uid="{40AE04AE-06CF-460C-89FD-1255B69FB724}" name="ID Number"/>
    <tableColumn id="6" xr3:uid="{7DB289C9-5DBF-424D-BA93-658C938EE0B9}" name="Date of Expiry"/>
    <tableColumn id="7" xr3:uid="{0A207522-80C8-475F-9458-9416A5BF0B72}" name="Date Added"/>
    <tableColumn id="8" xr3:uid="{3717814B-4688-4566-AF7D-F3CE639C1A2F}" name="Date of Last Review"/>
    <tableColumn id="9" xr3:uid="{A84A1F17-4E32-4528-98F9-579A8015D02A}" name="Adverse Media"/>
    <tableColumn id="10" xr3:uid="{AA2F86C1-37AD-4C2B-A101-1F56DF13ED6B}" name="PEP"/>
    <tableColumn id="11" xr3:uid="{96FF8C2E-3E78-4B13-94A7-E0ECC97FBC62}" name="Sanc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6B059-B15A-4F73-84C7-80C0E091B513}" name="Table1" displayName="Table1" ref="A1:J178" totalsRowShown="0">
  <autoFilter ref="A1:J178" xr:uid="{DC56B059-B15A-4F73-84C7-80C0E091B513}"/>
  <tableColumns count="10">
    <tableColumn id="1" xr3:uid="{1E250FED-A1C9-4985-8E2A-549BCA71A2CE}" name="Sanction_ID"/>
    <tableColumn id="2" xr3:uid="{7F6C9FA8-442A-4B63-B019-58ACD2258B8D}" name="Entity_ID"/>
    <tableColumn id="3" xr3:uid="{AAF4829F-7111-4971-A11E-61B3C9ADE34B}" name="Entity Name"/>
    <tableColumn id="4" xr3:uid="{27EF3904-4B03-4C9D-9BD0-2DC637624BAB}" name="Entity Type"/>
    <tableColumn id="10" xr3:uid="{2D62C768-1180-4CEE-A754-191E1650EE8D}" name="Country"/>
    <tableColumn id="5" xr3:uid="{6DCF66A1-5ECC-41CE-942D-912641EDD82E}" name="Sanctioning Body"/>
    <tableColumn id="6" xr3:uid="{953422A4-A3B3-4FEE-9FAB-1D48BF2E5DFD}" name="Sanction Type"/>
    <tableColumn id="7" xr3:uid="{F0767D60-39CE-4EFD-BC63-0E4BF546592C}" name="Date Added" dataDxfId="3"/>
    <tableColumn id="8" xr3:uid="{2A498AD7-A70B-44DB-B444-97B2FDE17B5A}" name="Date of Last Review" dataDxfId="2"/>
    <tableColumn id="9" xr3:uid="{BCA90494-68DA-4294-A228-16A099D9FE4B}" name="Date of Removal" dataDxfId="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D09EC-10D0-4F86-BFAA-55FE4D664352}" name="Table4" displayName="Table4" ref="A1:J190" totalsRowShown="0">
  <autoFilter ref="A1:J190" xr:uid="{547D09EC-10D0-4F86-BFAA-55FE4D664352}"/>
  <tableColumns count="10">
    <tableColumn id="1" xr3:uid="{0402FEF2-5C43-43A2-AE4E-FD497CCDEFE1}" name="PEP_ID"/>
    <tableColumn id="2" xr3:uid="{5759CD35-9AE3-4691-9D3E-EADF227F0DB0}" name="Entity_ID"/>
    <tableColumn id="3" xr3:uid="{E3CE45EA-D0FC-43AE-96EB-BEBCB00189B3}" name="Entity Name"/>
    <tableColumn id="4" xr3:uid="{9F1B70D5-6B14-491F-9387-35926210447A}" name="Entity Type"/>
    <tableColumn id="10" xr3:uid="{1A4DAE12-5728-451E-8E33-DAFA6B2EC536}" name="Country"/>
    <tableColumn id="9" xr3:uid="{27525A17-AF43-4541-8A21-BDCFF972E728}" name="Position / Role"/>
    <tableColumn id="5" xr3:uid="{AB7CBFDB-4801-4919-8519-054685DF3D91}" name="Date of Assuming Office"/>
    <tableColumn id="6" xr3:uid="{F48E5491-6D42-42E6-9DA2-3DD460B20DF4}" name="Date of Leaving Office"/>
    <tableColumn id="7" xr3:uid="{9D35BCD7-6C2F-4C80-833A-832D906F2B67}" name="Date Added"/>
    <tableColumn id="8" xr3:uid="{30AF93B1-1551-4C59-8A13-46604A8A3A44}" name="Date of Last Review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B86AC0-EF07-4EF7-8521-D92057309B96}" name="Table6" displayName="Table6" ref="A1:I215" totalsRowShown="0">
  <autoFilter ref="A1:I215" xr:uid="{27B86AC0-EF07-4EF7-8521-D92057309B96}"/>
  <tableColumns count="9">
    <tableColumn id="1" xr3:uid="{3ADD2B3C-FAE9-4051-8763-A28CDC156D0F}" name="Media_ID"/>
    <tableColumn id="2" xr3:uid="{445B77BB-9A4B-450A-B276-7DCA11898745}" name="Entity_ID"/>
    <tableColumn id="3" xr3:uid="{9216780F-255C-4265-B598-A7CC13FFF94F}" name="Entity Name"/>
    <tableColumn id="9" xr3:uid="{FE13E5E6-90ED-4E24-9DEF-64FBDD0BF59C}" name="Entity Type"/>
    <tableColumn id="4" xr3:uid="{3E1A912B-9198-437C-B059-9B079A1CECC0}" name="Country"/>
    <tableColumn id="5" xr3:uid="{82569D72-8CC6-4045-9FD9-DCD0CB8E691F}" name="Media Source"/>
    <tableColumn id="6" xr3:uid="{0F4705A3-A512-4660-8C62-D693B3274B81}" name="Issue / Allegation"/>
    <tableColumn id="7" xr3:uid="{F6C51AA8-459A-4687-84ED-E29FA0418F4F}" name="Date Added"/>
    <tableColumn id="8" xr3:uid="{9C43CC8A-0529-42B0-9614-15A2EFBB69C3}" name="Date of Last Review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0D1FD1-F02F-413D-ADD5-7A0765B9A983}" name="Table5" displayName="Table5" ref="A1:F22" totalsRowShown="0">
  <autoFilter ref="A1:F22" xr:uid="{030D1FD1-F02F-413D-ADD5-7A0765B9A983}"/>
  <tableColumns count="6">
    <tableColumn id="1" xr3:uid="{8324A396-70EB-4328-9A97-3880F93A923F}" name="HRJ_ID"/>
    <tableColumn id="2" xr3:uid="{575124E9-D034-45AB-B318-9796D69B245D}" name="Country"/>
    <tableColumn id="3" xr3:uid="{99F46A7C-1A80-4F05-BCF8-7F6A519C24FB}" name="Risk Level"/>
    <tableColumn id="4" xr3:uid="{EE241DC8-A48D-475E-BE2E-C583F26D1608}" name="Reason / Notes"/>
    <tableColumn id="5" xr3:uid="{3C0BD92F-DFF1-436B-9699-2D246A1B723E}" name="Date Added"/>
    <tableColumn id="6" xr3:uid="{CA2E576D-CE2B-44E1-828A-5A470C13E806}" name="Date of Last Revi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2050-9E27-40B9-8BDE-6F3576B487B9}">
  <dimension ref="A1:L651"/>
  <sheetViews>
    <sheetView tabSelected="1" workbookViewId="0">
      <selection activeCell="K3" sqref="K3"/>
    </sheetView>
  </sheetViews>
  <sheetFormatPr defaultRowHeight="14.4" x14ac:dyDescent="0.3"/>
  <sheetData>
    <row r="1" spans="1:12" x14ac:dyDescent="0.3">
      <c r="A1" t="s">
        <v>4396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685</v>
      </c>
      <c r="H1" t="s">
        <v>686</v>
      </c>
      <c r="I1" t="s">
        <v>687</v>
      </c>
      <c r="J1" t="s">
        <v>4389</v>
      </c>
      <c r="K1" t="s">
        <v>4390</v>
      </c>
      <c r="L1" t="s">
        <v>3986</v>
      </c>
    </row>
    <row r="2" spans="1:12" x14ac:dyDescent="0.3">
      <c r="A2" t="s">
        <v>2381</v>
      </c>
      <c r="B2" t="s">
        <v>2681</v>
      </c>
      <c r="C2" t="s">
        <v>189</v>
      </c>
      <c r="D2" t="s">
        <v>190</v>
      </c>
      <c r="E2" t="s">
        <v>273</v>
      </c>
      <c r="F2" t="s">
        <v>3607</v>
      </c>
      <c r="G2" t="s">
        <v>2374</v>
      </c>
      <c r="H2" t="s">
        <v>2375</v>
      </c>
      <c r="I2" t="s">
        <v>2374</v>
      </c>
      <c r="J2" t="str">
        <f>IF(COUNTIF(Table5[Country],Table310[Country])&gt;0,"Y","N")</f>
        <v>N</v>
      </c>
      <c r="K2">
        <f>IF(Table310[[#This Row],[Adverse Media]]="Y",15,0)+IF(Table310[[#This Row],[PEP]]="Y",50,0)+IF(Table310[[#This Row],[Sanctions]]="Y",70,0)+IF(Table310[[#This Row],[High Risk Country]]="Y",25,0)</f>
        <v>50</v>
      </c>
      <c r="L2" t="str">
        <f>_xlfn.IFS(Table310[[#This Row],[Risk Score]]&gt;=85,"Critical",Table310[[#This Row],[Risk Score]]&gt;=65,"High",Table310[[#This Row],[Risk Score]]&gt;=45,"Medium",TRUE,"Low")</f>
        <v>Medium</v>
      </c>
    </row>
    <row r="3" spans="1:12" x14ac:dyDescent="0.3">
      <c r="A3" t="s">
        <v>2382</v>
      </c>
      <c r="B3" t="s">
        <v>2682</v>
      </c>
      <c r="C3" t="s">
        <v>189</v>
      </c>
      <c r="D3" t="s">
        <v>216</v>
      </c>
      <c r="E3" t="s">
        <v>3452</v>
      </c>
      <c r="F3" t="s">
        <v>319</v>
      </c>
      <c r="G3" t="s">
        <v>2374</v>
      </c>
      <c r="H3" t="s">
        <v>2374</v>
      </c>
      <c r="I3" t="s">
        <v>2374</v>
      </c>
      <c r="J3" t="str">
        <f>IF(COUNTIF(Table5[Country],Table310[Country])&gt;0,"Y","N")</f>
        <v>N</v>
      </c>
      <c r="K3">
        <f>IF(Table310[[#This Row],[Adverse Media]]="Y",15,0)+IF(Table310[[#This Row],[PEP]]="Y",50,0)+IF(Table310[[#This Row],[Sanctions]]="Y",70,0)+IF(Table310[[#This Row],[High Risk Country]]="Y",25,0)</f>
        <v>0</v>
      </c>
      <c r="L3" t="str">
        <f>_xlfn.IFS(Table310[[#This Row],[Risk Score]]&gt;=85,"Critical",Table310[[#This Row],[Risk Score]]&gt;=65,"High",Table310[[#This Row],[Risk Score]]&gt;=45,"Medium",TRUE,"Low")</f>
        <v>Low</v>
      </c>
    </row>
    <row r="4" spans="1:12" x14ac:dyDescent="0.3">
      <c r="A4" t="s">
        <v>2383</v>
      </c>
      <c r="B4" t="s">
        <v>2683</v>
      </c>
      <c r="C4" t="s">
        <v>189</v>
      </c>
      <c r="D4" t="s">
        <v>201</v>
      </c>
      <c r="E4" t="s">
        <v>648</v>
      </c>
      <c r="F4" t="s">
        <v>3608</v>
      </c>
      <c r="G4" t="s">
        <v>2375</v>
      </c>
      <c r="H4" t="s">
        <v>2375</v>
      </c>
      <c r="I4" t="s">
        <v>2374</v>
      </c>
      <c r="J4" t="str">
        <f>IF(COUNTIF(Table5[Country],Table310[Country])&gt;0,"Y","N")</f>
        <v>N</v>
      </c>
      <c r="K4">
        <f>IF(Table310[[#This Row],[Adverse Media]]="Y",15,0)+IF(Table310[[#This Row],[PEP]]="Y",50,0)+IF(Table310[[#This Row],[Sanctions]]="Y",70,0)+IF(Table310[[#This Row],[High Risk Country]]="Y",25,0)</f>
        <v>65</v>
      </c>
      <c r="L4" t="str">
        <f>_xlfn.IFS(Table310[[#This Row],[Risk Score]]&gt;=85,"Critical",Table310[[#This Row],[Risk Score]]&gt;=65,"High",Table310[[#This Row],[Risk Score]]&gt;=45,"Medium",TRUE,"Low")</f>
        <v>High</v>
      </c>
    </row>
    <row r="5" spans="1:12" x14ac:dyDescent="0.3">
      <c r="A5" t="s">
        <v>2384</v>
      </c>
      <c r="B5" t="s">
        <v>2684</v>
      </c>
      <c r="C5" t="s">
        <v>189</v>
      </c>
      <c r="D5" t="s">
        <v>247</v>
      </c>
      <c r="E5" t="s">
        <v>3453</v>
      </c>
      <c r="F5" t="s">
        <v>3298</v>
      </c>
      <c r="G5" t="s">
        <v>2374</v>
      </c>
      <c r="H5" t="s">
        <v>2374</v>
      </c>
      <c r="I5" t="s">
        <v>2374</v>
      </c>
      <c r="J5" t="str">
        <f>IF(COUNTIF(Table5[Country],Table310[Country])&gt;0,"Y","N")</f>
        <v>Y</v>
      </c>
      <c r="K5">
        <f>IF(Table310[[#This Row],[Adverse Media]]="Y",15,0)+IF(Table310[[#This Row],[PEP]]="Y",50,0)+IF(Table310[[#This Row],[Sanctions]]="Y",70,0)+IF(Table310[[#This Row],[High Risk Country]]="Y",25,0)</f>
        <v>25</v>
      </c>
      <c r="L5" t="str">
        <f>_xlfn.IFS(Table310[[#This Row],[Risk Score]]&gt;=85,"Critical",Table310[[#This Row],[Risk Score]]&gt;=65,"High",Table310[[#This Row],[Risk Score]]&gt;=45,"Medium",TRUE,"Low")</f>
        <v>Low</v>
      </c>
    </row>
    <row r="6" spans="1:12" x14ac:dyDescent="0.3">
      <c r="A6" t="s">
        <v>2385</v>
      </c>
      <c r="B6" t="s">
        <v>2685</v>
      </c>
      <c r="C6" t="s">
        <v>189</v>
      </c>
      <c r="D6" t="s">
        <v>209</v>
      </c>
      <c r="E6" t="s">
        <v>2189</v>
      </c>
      <c r="F6" t="s">
        <v>290</v>
      </c>
      <c r="G6" t="s">
        <v>2375</v>
      </c>
      <c r="H6" t="s">
        <v>2375</v>
      </c>
      <c r="I6" t="s">
        <v>2374</v>
      </c>
      <c r="J6" t="str">
        <f>IF(COUNTIF(Table5[Country],Table310[Country])&gt;0,"Y","N")</f>
        <v>N</v>
      </c>
      <c r="K6">
        <f>IF(Table310[[#This Row],[Adverse Media]]="Y",15,0)+IF(Table310[[#This Row],[PEP]]="Y",50,0)+IF(Table310[[#This Row],[Sanctions]]="Y",70,0)+IF(Table310[[#This Row],[High Risk Country]]="Y",25,0)</f>
        <v>65</v>
      </c>
      <c r="L6" t="str">
        <f>_xlfn.IFS(Table310[[#This Row],[Risk Score]]&gt;=85,"Critical",Table310[[#This Row],[Risk Score]]&gt;=65,"High",Table310[[#This Row],[Risk Score]]&gt;=45,"Medium",TRUE,"Low")</f>
        <v>High</v>
      </c>
    </row>
    <row r="7" spans="1:12" x14ac:dyDescent="0.3">
      <c r="A7" t="s">
        <v>2386</v>
      </c>
      <c r="B7" t="s">
        <v>2686</v>
      </c>
      <c r="C7" t="s">
        <v>189</v>
      </c>
      <c r="D7" t="s">
        <v>224</v>
      </c>
      <c r="E7" t="s">
        <v>3454</v>
      </c>
      <c r="F7" t="s">
        <v>379</v>
      </c>
      <c r="G7" t="s">
        <v>2375</v>
      </c>
      <c r="H7" t="s">
        <v>2375</v>
      </c>
      <c r="I7" t="s">
        <v>2374</v>
      </c>
      <c r="J7" t="str">
        <f>IF(COUNTIF(Table5[Country],Table310[Country])&gt;0,"Y","N")</f>
        <v>Y</v>
      </c>
      <c r="K7">
        <f>IF(Table310[[#This Row],[Adverse Media]]="Y",15,0)+IF(Table310[[#This Row],[PEP]]="Y",50,0)+IF(Table310[[#This Row],[Sanctions]]="Y",70,0)+IF(Table310[[#This Row],[High Risk Country]]="Y",25,0)</f>
        <v>90</v>
      </c>
      <c r="L7" t="str">
        <f>_xlfn.IFS(Table310[[#This Row],[Risk Score]]&gt;=85,"Critical",Table310[[#This Row],[Risk Score]]&gt;=65,"High",Table310[[#This Row],[Risk Score]]&gt;=45,"Medium",TRUE,"Low")</f>
        <v>Critical</v>
      </c>
    </row>
    <row r="8" spans="1:12" x14ac:dyDescent="0.3">
      <c r="A8" t="s">
        <v>2387</v>
      </c>
      <c r="B8" t="s">
        <v>2687</v>
      </c>
      <c r="C8" t="s">
        <v>189</v>
      </c>
      <c r="D8" t="s">
        <v>212</v>
      </c>
      <c r="E8" t="s">
        <v>3455</v>
      </c>
      <c r="F8" t="s">
        <v>3609</v>
      </c>
      <c r="G8" t="s">
        <v>2374</v>
      </c>
      <c r="H8" t="s">
        <v>2375</v>
      </c>
      <c r="I8" t="s">
        <v>2374</v>
      </c>
      <c r="J8" t="str">
        <f>IF(COUNTIF(Table5[Country],Table310[Country])&gt;0,"Y","N")</f>
        <v>N</v>
      </c>
      <c r="K8">
        <f>IF(Table310[[#This Row],[Adverse Media]]="Y",15,0)+IF(Table310[[#This Row],[PEP]]="Y",50,0)+IF(Table310[[#This Row],[Sanctions]]="Y",70,0)+IF(Table310[[#This Row],[High Risk Country]]="Y",25,0)</f>
        <v>50</v>
      </c>
      <c r="L8" t="str">
        <f>_xlfn.IFS(Table310[[#This Row],[Risk Score]]&gt;=85,"Critical",Table310[[#This Row],[Risk Score]]&gt;=65,"High",Table310[[#This Row],[Risk Score]]&gt;=45,"Medium",TRUE,"Low")</f>
        <v>Medium</v>
      </c>
    </row>
    <row r="9" spans="1:12" x14ac:dyDescent="0.3">
      <c r="A9" t="s">
        <v>2388</v>
      </c>
      <c r="B9" t="s">
        <v>2688</v>
      </c>
      <c r="C9" t="s">
        <v>189</v>
      </c>
      <c r="D9" t="s">
        <v>223</v>
      </c>
      <c r="E9" t="s">
        <v>3456</v>
      </c>
      <c r="F9" t="s">
        <v>3610</v>
      </c>
      <c r="G9" t="s">
        <v>2374</v>
      </c>
      <c r="H9" t="s">
        <v>2374</v>
      </c>
      <c r="I9" t="s">
        <v>2374</v>
      </c>
      <c r="J9" t="str">
        <f>IF(COUNTIF(Table5[Country],Table310[Country])&gt;0,"Y","N")</f>
        <v>N</v>
      </c>
      <c r="K9">
        <f>IF(Table310[[#This Row],[Adverse Media]]="Y",15,0)+IF(Table310[[#This Row],[PEP]]="Y",50,0)+IF(Table310[[#This Row],[Sanctions]]="Y",70,0)+IF(Table310[[#This Row],[High Risk Country]]="Y",25,0)</f>
        <v>0</v>
      </c>
      <c r="L9" t="str">
        <f>_xlfn.IFS(Table310[[#This Row],[Risk Score]]&gt;=85,"Critical",Table310[[#This Row],[Risk Score]]&gt;=65,"High",Table310[[#This Row],[Risk Score]]&gt;=45,"Medium",TRUE,"Low")</f>
        <v>Low</v>
      </c>
    </row>
    <row r="10" spans="1:12" x14ac:dyDescent="0.3">
      <c r="A10" t="s">
        <v>2389</v>
      </c>
      <c r="B10" t="s">
        <v>2689</v>
      </c>
      <c r="C10" t="s">
        <v>189</v>
      </c>
      <c r="D10" t="s">
        <v>228</v>
      </c>
      <c r="E10" t="s">
        <v>2263</v>
      </c>
      <c r="F10" t="s">
        <v>2229</v>
      </c>
      <c r="G10" t="s">
        <v>2375</v>
      </c>
      <c r="H10" t="s">
        <v>2374</v>
      </c>
      <c r="I10" t="s">
        <v>2374</v>
      </c>
      <c r="J10" t="str">
        <f>IF(COUNTIF(Table5[Country],Table310[Country])&gt;0,"Y","N")</f>
        <v>N</v>
      </c>
      <c r="K10">
        <f>IF(Table310[[#This Row],[Adverse Media]]="Y",15,0)+IF(Table310[[#This Row],[PEP]]="Y",50,0)+IF(Table310[[#This Row],[Sanctions]]="Y",70,0)+IF(Table310[[#This Row],[High Risk Country]]="Y",25,0)</f>
        <v>15</v>
      </c>
      <c r="L10" t="str">
        <f>_xlfn.IFS(Table310[[#This Row],[Risk Score]]&gt;=85,"Critical",Table310[[#This Row],[Risk Score]]&gt;=65,"High",Table310[[#This Row],[Risk Score]]&gt;=45,"Medium",TRUE,"Low")</f>
        <v>Low</v>
      </c>
    </row>
    <row r="11" spans="1:12" x14ac:dyDescent="0.3">
      <c r="A11" t="s">
        <v>2390</v>
      </c>
      <c r="B11" t="s">
        <v>2690</v>
      </c>
      <c r="C11" t="s">
        <v>189</v>
      </c>
      <c r="D11" t="s">
        <v>249</v>
      </c>
      <c r="E11" t="s">
        <v>321</v>
      </c>
      <c r="F11" t="s">
        <v>644</v>
      </c>
      <c r="G11" t="s">
        <v>2374</v>
      </c>
      <c r="H11" t="s">
        <v>2374</v>
      </c>
      <c r="I11" t="s">
        <v>2374</v>
      </c>
      <c r="J11" t="str">
        <f>IF(COUNTIF(Table5[Country],Table310[Country])&gt;0,"Y","N")</f>
        <v>N</v>
      </c>
      <c r="K11">
        <f>IF(Table310[[#This Row],[Adverse Media]]="Y",15,0)+IF(Table310[[#This Row],[PEP]]="Y",50,0)+IF(Table310[[#This Row],[Sanctions]]="Y",70,0)+IF(Table310[[#This Row],[High Risk Country]]="Y",25,0)</f>
        <v>0</v>
      </c>
      <c r="L11" t="str">
        <f>_xlfn.IFS(Table310[[#This Row],[Risk Score]]&gt;=85,"Critical",Table310[[#This Row],[Risk Score]]&gt;=65,"High",Table310[[#This Row],[Risk Score]]&gt;=45,"Medium",TRUE,"Low")</f>
        <v>Low</v>
      </c>
    </row>
    <row r="12" spans="1:12" x14ac:dyDescent="0.3">
      <c r="A12" t="s">
        <v>2391</v>
      </c>
      <c r="B12" t="s">
        <v>2691</v>
      </c>
      <c r="C12" t="s">
        <v>189</v>
      </c>
      <c r="D12" t="s">
        <v>224</v>
      </c>
      <c r="E12" t="s">
        <v>3457</v>
      </c>
      <c r="F12" t="s">
        <v>3611</v>
      </c>
      <c r="G12" t="s">
        <v>2374</v>
      </c>
      <c r="H12" t="s">
        <v>2374</v>
      </c>
      <c r="I12" t="s">
        <v>2374</v>
      </c>
      <c r="J12" t="str">
        <f>IF(COUNTIF(Table5[Country],Table310[Country])&gt;0,"Y","N")</f>
        <v>Y</v>
      </c>
      <c r="K12">
        <f>IF(Table310[[#This Row],[Adverse Media]]="Y",15,0)+IF(Table310[[#This Row],[PEP]]="Y",50,0)+IF(Table310[[#This Row],[Sanctions]]="Y",70,0)+IF(Table310[[#This Row],[High Risk Country]]="Y",25,0)</f>
        <v>25</v>
      </c>
      <c r="L12" t="str">
        <f>_xlfn.IFS(Table310[[#This Row],[Risk Score]]&gt;=85,"Critical",Table310[[#This Row],[Risk Score]]&gt;=65,"High",Table310[[#This Row],[Risk Score]]&gt;=45,"Medium",TRUE,"Low")</f>
        <v>Low</v>
      </c>
    </row>
    <row r="13" spans="1:12" x14ac:dyDescent="0.3">
      <c r="A13" t="s">
        <v>2392</v>
      </c>
      <c r="B13" t="s">
        <v>2692</v>
      </c>
      <c r="C13" t="s">
        <v>189</v>
      </c>
      <c r="D13" t="s">
        <v>196</v>
      </c>
      <c r="E13" t="s">
        <v>550</v>
      </c>
      <c r="F13" t="s">
        <v>2228</v>
      </c>
      <c r="G13" t="s">
        <v>2374</v>
      </c>
      <c r="H13" t="s">
        <v>2374</v>
      </c>
      <c r="I13" t="s">
        <v>2374</v>
      </c>
      <c r="J13" t="str">
        <f>IF(COUNTIF(Table5[Country],Table310[Country])&gt;0,"Y","N")</f>
        <v>Y</v>
      </c>
      <c r="K13">
        <f>IF(Table310[[#This Row],[Adverse Media]]="Y",15,0)+IF(Table310[[#This Row],[PEP]]="Y",50,0)+IF(Table310[[#This Row],[Sanctions]]="Y",70,0)+IF(Table310[[#This Row],[High Risk Country]]="Y",25,0)</f>
        <v>25</v>
      </c>
      <c r="L13" t="str">
        <f>_xlfn.IFS(Table310[[#This Row],[Risk Score]]&gt;=85,"Critical",Table310[[#This Row],[Risk Score]]&gt;=65,"High",Table310[[#This Row],[Risk Score]]&gt;=45,"Medium",TRUE,"Low")</f>
        <v>Low</v>
      </c>
    </row>
    <row r="14" spans="1:12" x14ac:dyDescent="0.3">
      <c r="A14" t="s">
        <v>2393</v>
      </c>
      <c r="B14" t="s">
        <v>2693</v>
      </c>
      <c r="C14" t="s">
        <v>189</v>
      </c>
      <c r="D14" t="s">
        <v>205</v>
      </c>
      <c r="E14" t="s">
        <v>3458</v>
      </c>
      <c r="F14" t="s">
        <v>3612</v>
      </c>
      <c r="G14" t="s">
        <v>2374</v>
      </c>
      <c r="H14" t="s">
        <v>2374</v>
      </c>
      <c r="I14" t="s">
        <v>2374</v>
      </c>
      <c r="J14" t="str">
        <f>IF(COUNTIF(Table5[Country],Table310[Country])&gt;0,"Y","N")</f>
        <v>N</v>
      </c>
      <c r="K14">
        <f>IF(Table310[[#This Row],[Adverse Media]]="Y",15,0)+IF(Table310[[#This Row],[PEP]]="Y",50,0)+IF(Table310[[#This Row],[Sanctions]]="Y",70,0)+IF(Table310[[#This Row],[High Risk Country]]="Y",25,0)</f>
        <v>0</v>
      </c>
      <c r="L14" t="str">
        <f>_xlfn.IFS(Table310[[#This Row],[Risk Score]]&gt;=85,"Critical",Table310[[#This Row],[Risk Score]]&gt;=65,"High",Table310[[#This Row],[Risk Score]]&gt;=45,"Medium",TRUE,"Low")</f>
        <v>Low</v>
      </c>
    </row>
    <row r="15" spans="1:12" x14ac:dyDescent="0.3">
      <c r="A15" t="s">
        <v>2394</v>
      </c>
      <c r="B15" t="s">
        <v>2694</v>
      </c>
      <c r="C15" t="s">
        <v>189</v>
      </c>
      <c r="D15" t="s">
        <v>240</v>
      </c>
      <c r="E15" t="s">
        <v>3459</v>
      </c>
      <c r="F15" t="s">
        <v>3613</v>
      </c>
      <c r="G15" t="s">
        <v>2374</v>
      </c>
      <c r="H15" t="s">
        <v>2374</v>
      </c>
      <c r="I15" t="s">
        <v>2374</v>
      </c>
      <c r="J15" t="str">
        <f>IF(COUNTIF(Table5[Country],Table310[Country])&gt;0,"Y","N")</f>
        <v>N</v>
      </c>
      <c r="K15">
        <f>IF(Table310[[#This Row],[Adverse Media]]="Y",15,0)+IF(Table310[[#This Row],[PEP]]="Y",50,0)+IF(Table310[[#This Row],[Sanctions]]="Y",70,0)+IF(Table310[[#This Row],[High Risk Country]]="Y",25,0)</f>
        <v>0</v>
      </c>
      <c r="L15" t="str">
        <f>_xlfn.IFS(Table310[[#This Row],[Risk Score]]&gt;=85,"Critical",Table310[[#This Row],[Risk Score]]&gt;=65,"High",Table310[[#This Row],[Risk Score]]&gt;=45,"Medium",TRUE,"Low")</f>
        <v>Low</v>
      </c>
    </row>
    <row r="16" spans="1:12" x14ac:dyDescent="0.3">
      <c r="A16" t="s">
        <v>2395</v>
      </c>
      <c r="B16" t="s">
        <v>2695</v>
      </c>
      <c r="C16" t="s">
        <v>189</v>
      </c>
      <c r="D16" t="s">
        <v>245</v>
      </c>
      <c r="E16" t="s">
        <v>3460</v>
      </c>
      <c r="F16" t="s">
        <v>628</v>
      </c>
      <c r="G16" t="s">
        <v>2375</v>
      </c>
      <c r="H16" t="s">
        <v>2374</v>
      </c>
      <c r="I16" t="s">
        <v>2374</v>
      </c>
      <c r="J16" t="str">
        <f>IF(COUNTIF(Table5[Country],Table310[Country])&gt;0,"Y","N")</f>
        <v>Y</v>
      </c>
      <c r="K16">
        <f>IF(Table310[[#This Row],[Adverse Media]]="Y",15,0)+IF(Table310[[#This Row],[PEP]]="Y",50,0)+IF(Table310[[#This Row],[Sanctions]]="Y",70,0)+IF(Table310[[#This Row],[High Risk Country]]="Y",25,0)</f>
        <v>40</v>
      </c>
      <c r="L16" t="str">
        <f>_xlfn.IFS(Table310[[#This Row],[Risk Score]]&gt;=85,"Critical",Table310[[#This Row],[Risk Score]]&gt;=65,"High",Table310[[#This Row],[Risk Score]]&gt;=45,"Medium",TRUE,"Low")</f>
        <v>Low</v>
      </c>
    </row>
    <row r="17" spans="1:12" x14ac:dyDescent="0.3">
      <c r="A17" t="s">
        <v>2396</v>
      </c>
      <c r="B17" t="s">
        <v>2696</v>
      </c>
      <c r="C17" t="s">
        <v>189</v>
      </c>
      <c r="D17" t="s">
        <v>231</v>
      </c>
      <c r="E17" t="s">
        <v>518</v>
      </c>
      <c r="F17" t="s">
        <v>3491</v>
      </c>
      <c r="G17" t="s">
        <v>2374</v>
      </c>
      <c r="H17" t="s">
        <v>2374</v>
      </c>
      <c r="I17" t="s">
        <v>2374</v>
      </c>
      <c r="J17" t="str">
        <f>IF(COUNTIF(Table5[Country],Table310[Country])&gt;0,"Y","N")</f>
        <v>N</v>
      </c>
      <c r="K17">
        <f>IF(Table310[[#This Row],[Adverse Media]]="Y",15,0)+IF(Table310[[#This Row],[PEP]]="Y",50,0)+IF(Table310[[#This Row],[Sanctions]]="Y",70,0)+IF(Table310[[#This Row],[High Risk Country]]="Y",25,0)</f>
        <v>0</v>
      </c>
      <c r="L17" t="str">
        <f>_xlfn.IFS(Table310[[#This Row],[Risk Score]]&gt;=85,"Critical",Table310[[#This Row],[Risk Score]]&gt;=65,"High",Table310[[#This Row],[Risk Score]]&gt;=45,"Medium",TRUE,"Low")</f>
        <v>Low</v>
      </c>
    </row>
    <row r="18" spans="1:12" x14ac:dyDescent="0.3">
      <c r="A18" t="s">
        <v>2397</v>
      </c>
      <c r="B18" t="s">
        <v>2697</v>
      </c>
      <c r="C18" t="s">
        <v>189</v>
      </c>
      <c r="D18" t="s">
        <v>228</v>
      </c>
      <c r="E18" t="s">
        <v>404</v>
      </c>
      <c r="F18" t="s">
        <v>3614</v>
      </c>
      <c r="G18" t="s">
        <v>2375</v>
      </c>
      <c r="H18" t="s">
        <v>2374</v>
      </c>
      <c r="I18" t="s">
        <v>2374</v>
      </c>
      <c r="J18" t="str">
        <f>IF(COUNTIF(Table5[Country],Table310[Country])&gt;0,"Y","N")</f>
        <v>N</v>
      </c>
      <c r="K18">
        <f>IF(Table310[[#This Row],[Adverse Media]]="Y",15,0)+IF(Table310[[#This Row],[PEP]]="Y",50,0)+IF(Table310[[#This Row],[Sanctions]]="Y",70,0)+IF(Table310[[#This Row],[High Risk Country]]="Y",25,0)</f>
        <v>15</v>
      </c>
      <c r="L18" t="str">
        <f>_xlfn.IFS(Table310[[#This Row],[Risk Score]]&gt;=85,"Critical",Table310[[#This Row],[Risk Score]]&gt;=65,"High",Table310[[#This Row],[Risk Score]]&gt;=45,"Medium",TRUE,"Low")</f>
        <v>Low</v>
      </c>
    </row>
    <row r="19" spans="1:12" x14ac:dyDescent="0.3">
      <c r="A19" t="s">
        <v>2398</v>
      </c>
      <c r="B19" t="s">
        <v>2698</v>
      </c>
      <c r="C19" t="s">
        <v>189</v>
      </c>
      <c r="D19" t="s">
        <v>209</v>
      </c>
      <c r="E19" t="s">
        <v>2299</v>
      </c>
      <c r="F19" t="s">
        <v>3615</v>
      </c>
      <c r="G19" t="s">
        <v>2375</v>
      </c>
      <c r="H19" t="s">
        <v>2374</v>
      </c>
      <c r="I19" t="s">
        <v>2374</v>
      </c>
      <c r="J19" t="str">
        <f>IF(COUNTIF(Table5[Country],Table310[Country])&gt;0,"Y","N")</f>
        <v>N</v>
      </c>
      <c r="K19">
        <f>IF(Table310[[#This Row],[Adverse Media]]="Y",15,0)+IF(Table310[[#This Row],[PEP]]="Y",50,0)+IF(Table310[[#This Row],[Sanctions]]="Y",70,0)+IF(Table310[[#This Row],[High Risk Country]]="Y",25,0)</f>
        <v>15</v>
      </c>
      <c r="L19" t="str">
        <f>_xlfn.IFS(Table310[[#This Row],[Risk Score]]&gt;=85,"Critical",Table310[[#This Row],[Risk Score]]&gt;=65,"High",Table310[[#This Row],[Risk Score]]&gt;=45,"Medium",TRUE,"Low")</f>
        <v>Low</v>
      </c>
    </row>
    <row r="20" spans="1:12" x14ac:dyDescent="0.3">
      <c r="A20" t="s">
        <v>2399</v>
      </c>
      <c r="B20" t="s">
        <v>2699</v>
      </c>
      <c r="C20" t="s">
        <v>189</v>
      </c>
      <c r="D20" t="s">
        <v>237</v>
      </c>
      <c r="E20" t="s">
        <v>3461</v>
      </c>
      <c r="F20" t="s">
        <v>3616</v>
      </c>
      <c r="G20" t="s">
        <v>2374</v>
      </c>
      <c r="H20" t="s">
        <v>2374</v>
      </c>
      <c r="I20" t="s">
        <v>2374</v>
      </c>
      <c r="J20" t="str">
        <f>IF(COUNTIF(Table5[Country],Table310[Country])&gt;0,"Y","N")</f>
        <v>Y</v>
      </c>
      <c r="K20">
        <f>IF(Table310[[#This Row],[Adverse Media]]="Y",15,0)+IF(Table310[[#This Row],[PEP]]="Y",50,0)+IF(Table310[[#This Row],[Sanctions]]="Y",70,0)+IF(Table310[[#This Row],[High Risk Country]]="Y",25,0)</f>
        <v>25</v>
      </c>
      <c r="L20" t="str">
        <f>_xlfn.IFS(Table310[[#This Row],[Risk Score]]&gt;=85,"Critical",Table310[[#This Row],[Risk Score]]&gt;=65,"High",Table310[[#This Row],[Risk Score]]&gt;=45,"Medium",TRUE,"Low")</f>
        <v>Low</v>
      </c>
    </row>
    <row r="21" spans="1:12" x14ac:dyDescent="0.3">
      <c r="A21" t="s">
        <v>2400</v>
      </c>
      <c r="B21" t="s">
        <v>2700</v>
      </c>
      <c r="C21" t="s">
        <v>189</v>
      </c>
      <c r="D21" t="s">
        <v>216</v>
      </c>
      <c r="E21" t="s">
        <v>3462</v>
      </c>
      <c r="F21" t="s">
        <v>424</v>
      </c>
      <c r="G21" t="s">
        <v>2375</v>
      </c>
      <c r="H21" t="s">
        <v>2374</v>
      </c>
      <c r="I21" t="s">
        <v>2374</v>
      </c>
      <c r="J21" t="str">
        <f>IF(COUNTIF(Table5[Country],Table310[Country])&gt;0,"Y","N")</f>
        <v>N</v>
      </c>
      <c r="K21">
        <f>IF(Table310[[#This Row],[Adverse Media]]="Y",15,0)+IF(Table310[[#This Row],[PEP]]="Y",50,0)+IF(Table310[[#This Row],[Sanctions]]="Y",70,0)+IF(Table310[[#This Row],[High Risk Country]]="Y",25,0)</f>
        <v>15</v>
      </c>
      <c r="L21" t="str">
        <f>_xlfn.IFS(Table310[[#This Row],[Risk Score]]&gt;=85,"Critical",Table310[[#This Row],[Risk Score]]&gt;=65,"High",Table310[[#This Row],[Risk Score]]&gt;=45,"Medium",TRUE,"Low")</f>
        <v>Low</v>
      </c>
    </row>
    <row r="22" spans="1:12" x14ac:dyDescent="0.3">
      <c r="A22" t="s">
        <v>2401</v>
      </c>
      <c r="B22" t="s">
        <v>2701</v>
      </c>
      <c r="C22" t="s">
        <v>189</v>
      </c>
      <c r="D22" t="s">
        <v>215</v>
      </c>
      <c r="E22" t="s">
        <v>3463</v>
      </c>
      <c r="F22" t="s">
        <v>3617</v>
      </c>
      <c r="G22" t="s">
        <v>2375</v>
      </c>
      <c r="H22" t="s">
        <v>2374</v>
      </c>
      <c r="I22" t="s">
        <v>2374</v>
      </c>
      <c r="J22" t="str">
        <f>IF(COUNTIF(Table5[Country],Table310[Country])&gt;0,"Y","N")</f>
        <v>Y</v>
      </c>
      <c r="K22">
        <f>IF(Table310[[#This Row],[Adverse Media]]="Y",15,0)+IF(Table310[[#This Row],[PEP]]="Y",50,0)+IF(Table310[[#This Row],[Sanctions]]="Y",70,0)+IF(Table310[[#This Row],[High Risk Country]]="Y",25,0)</f>
        <v>40</v>
      </c>
      <c r="L22" t="str">
        <f>_xlfn.IFS(Table310[[#This Row],[Risk Score]]&gt;=85,"Critical",Table310[[#This Row],[Risk Score]]&gt;=65,"High",Table310[[#This Row],[Risk Score]]&gt;=45,"Medium",TRUE,"Low")</f>
        <v>Low</v>
      </c>
    </row>
    <row r="23" spans="1:12" x14ac:dyDescent="0.3">
      <c r="A23" t="s">
        <v>2402</v>
      </c>
      <c r="B23" t="s">
        <v>2702</v>
      </c>
      <c r="C23" t="s">
        <v>189</v>
      </c>
      <c r="D23" t="s">
        <v>241</v>
      </c>
      <c r="E23" t="s">
        <v>3464</v>
      </c>
      <c r="F23" t="s">
        <v>449</v>
      </c>
      <c r="G23" t="s">
        <v>2374</v>
      </c>
      <c r="H23" t="s">
        <v>2374</v>
      </c>
      <c r="I23" t="s">
        <v>2374</v>
      </c>
      <c r="J23" t="str">
        <f>IF(COUNTIF(Table5[Country],Table310[Country])&gt;0,"Y","N")</f>
        <v>N</v>
      </c>
      <c r="K23">
        <f>IF(Table310[[#This Row],[Adverse Media]]="Y",15,0)+IF(Table310[[#This Row],[PEP]]="Y",50,0)+IF(Table310[[#This Row],[Sanctions]]="Y",70,0)+IF(Table310[[#This Row],[High Risk Country]]="Y",25,0)</f>
        <v>0</v>
      </c>
      <c r="L23" t="str">
        <f>_xlfn.IFS(Table310[[#This Row],[Risk Score]]&gt;=85,"Critical",Table310[[#This Row],[Risk Score]]&gt;=65,"High",Table310[[#This Row],[Risk Score]]&gt;=45,"Medium",TRUE,"Low")</f>
        <v>Low</v>
      </c>
    </row>
    <row r="24" spans="1:12" x14ac:dyDescent="0.3">
      <c r="A24" t="s">
        <v>2403</v>
      </c>
      <c r="B24" t="s">
        <v>2703</v>
      </c>
      <c r="C24" t="s">
        <v>189</v>
      </c>
      <c r="D24" t="s">
        <v>206</v>
      </c>
      <c r="E24" t="s">
        <v>1767</v>
      </c>
      <c r="F24" t="s">
        <v>3618</v>
      </c>
      <c r="G24" t="s">
        <v>2375</v>
      </c>
      <c r="H24" t="s">
        <v>2374</v>
      </c>
      <c r="I24" t="s">
        <v>2374</v>
      </c>
      <c r="J24" t="str">
        <f>IF(COUNTIF(Table5[Country],Table310[Country])&gt;0,"Y","N")</f>
        <v>Y</v>
      </c>
      <c r="K24">
        <f>IF(Table310[[#This Row],[Adverse Media]]="Y",15,0)+IF(Table310[[#This Row],[PEP]]="Y",50,0)+IF(Table310[[#This Row],[Sanctions]]="Y",70,0)+IF(Table310[[#This Row],[High Risk Country]]="Y",25,0)</f>
        <v>40</v>
      </c>
      <c r="L24" t="str">
        <f>_xlfn.IFS(Table310[[#This Row],[Risk Score]]&gt;=85,"Critical",Table310[[#This Row],[Risk Score]]&gt;=65,"High",Table310[[#This Row],[Risk Score]]&gt;=45,"Medium",TRUE,"Low")</f>
        <v>Low</v>
      </c>
    </row>
    <row r="25" spans="1:12" x14ac:dyDescent="0.3">
      <c r="A25" t="s">
        <v>2404</v>
      </c>
      <c r="B25" t="s">
        <v>2704</v>
      </c>
      <c r="C25" t="s">
        <v>189</v>
      </c>
      <c r="D25" t="s">
        <v>210</v>
      </c>
      <c r="E25" t="s">
        <v>2076</v>
      </c>
      <c r="F25" t="s">
        <v>386</v>
      </c>
      <c r="G25" t="s">
        <v>2374</v>
      </c>
      <c r="H25" t="s">
        <v>2374</v>
      </c>
      <c r="I25" t="s">
        <v>2374</v>
      </c>
      <c r="J25" t="str">
        <f>IF(COUNTIF(Table5[Country],Table310[Country])&gt;0,"Y","N")</f>
        <v>N</v>
      </c>
      <c r="K25">
        <f>IF(Table310[[#This Row],[Adverse Media]]="Y",15,0)+IF(Table310[[#This Row],[PEP]]="Y",50,0)+IF(Table310[[#This Row],[Sanctions]]="Y",70,0)+IF(Table310[[#This Row],[High Risk Country]]="Y",25,0)</f>
        <v>0</v>
      </c>
      <c r="L25" t="str">
        <f>_xlfn.IFS(Table310[[#This Row],[Risk Score]]&gt;=85,"Critical",Table310[[#This Row],[Risk Score]]&gt;=65,"High",Table310[[#This Row],[Risk Score]]&gt;=45,"Medium",TRUE,"Low")</f>
        <v>Low</v>
      </c>
    </row>
    <row r="26" spans="1:12" x14ac:dyDescent="0.3">
      <c r="A26" t="s">
        <v>2405</v>
      </c>
      <c r="B26" t="s">
        <v>2705</v>
      </c>
      <c r="C26" t="s">
        <v>189</v>
      </c>
      <c r="D26" t="s">
        <v>238</v>
      </c>
      <c r="E26" t="s">
        <v>3465</v>
      </c>
      <c r="F26" t="s">
        <v>457</v>
      </c>
      <c r="G26" t="s">
        <v>2375</v>
      </c>
      <c r="H26" t="s">
        <v>2374</v>
      </c>
      <c r="I26" t="s">
        <v>2374</v>
      </c>
      <c r="J26" t="str">
        <f>IF(COUNTIF(Table5[Country],Table310[Country])&gt;0,"Y","N")</f>
        <v>N</v>
      </c>
      <c r="K26">
        <f>IF(Table310[[#This Row],[Adverse Media]]="Y",15,0)+IF(Table310[[#This Row],[PEP]]="Y",50,0)+IF(Table310[[#This Row],[Sanctions]]="Y",70,0)+IF(Table310[[#This Row],[High Risk Country]]="Y",25,0)</f>
        <v>15</v>
      </c>
      <c r="L26" t="str">
        <f>_xlfn.IFS(Table310[[#This Row],[Risk Score]]&gt;=85,"Critical",Table310[[#This Row],[Risk Score]]&gt;=65,"High",Table310[[#This Row],[Risk Score]]&gt;=45,"Medium",TRUE,"Low")</f>
        <v>Low</v>
      </c>
    </row>
    <row r="27" spans="1:12" x14ac:dyDescent="0.3">
      <c r="A27" t="s">
        <v>2406</v>
      </c>
      <c r="B27" t="s">
        <v>2706</v>
      </c>
      <c r="C27" t="s">
        <v>189</v>
      </c>
      <c r="D27" t="s">
        <v>233</v>
      </c>
      <c r="E27" t="s">
        <v>3466</v>
      </c>
      <c r="F27" t="s">
        <v>413</v>
      </c>
      <c r="G27" t="s">
        <v>2374</v>
      </c>
      <c r="H27" t="s">
        <v>2374</v>
      </c>
      <c r="I27" t="s">
        <v>2374</v>
      </c>
      <c r="J27" t="str">
        <f>IF(COUNTIF(Table5[Country],Table310[Country])&gt;0,"Y","N")</f>
        <v>N</v>
      </c>
      <c r="K27">
        <f>IF(Table310[[#This Row],[Adverse Media]]="Y",15,0)+IF(Table310[[#This Row],[PEP]]="Y",50,0)+IF(Table310[[#This Row],[Sanctions]]="Y",70,0)+IF(Table310[[#This Row],[High Risk Country]]="Y",25,0)</f>
        <v>0</v>
      </c>
      <c r="L27" t="str">
        <f>_xlfn.IFS(Table310[[#This Row],[Risk Score]]&gt;=85,"Critical",Table310[[#This Row],[Risk Score]]&gt;=65,"High",Table310[[#This Row],[Risk Score]]&gt;=45,"Medium",TRUE,"Low")</f>
        <v>Low</v>
      </c>
    </row>
    <row r="28" spans="1:12" x14ac:dyDescent="0.3">
      <c r="A28" t="s">
        <v>2407</v>
      </c>
      <c r="B28" t="s">
        <v>2707</v>
      </c>
      <c r="C28" t="s">
        <v>189</v>
      </c>
      <c r="D28" t="s">
        <v>233</v>
      </c>
      <c r="E28" t="s">
        <v>3467</v>
      </c>
      <c r="F28" t="s">
        <v>2148</v>
      </c>
      <c r="G28" t="s">
        <v>2374</v>
      </c>
      <c r="H28" t="s">
        <v>2374</v>
      </c>
      <c r="I28" t="s">
        <v>2374</v>
      </c>
      <c r="J28" t="str">
        <f>IF(COUNTIF(Table5[Country],Table310[Country])&gt;0,"Y","N")</f>
        <v>N</v>
      </c>
      <c r="K28">
        <f>IF(Table310[[#This Row],[Adverse Media]]="Y",15,0)+IF(Table310[[#This Row],[PEP]]="Y",50,0)+IF(Table310[[#This Row],[Sanctions]]="Y",70,0)+IF(Table310[[#This Row],[High Risk Country]]="Y",25,0)</f>
        <v>0</v>
      </c>
      <c r="L28" t="str">
        <f>_xlfn.IFS(Table310[[#This Row],[Risk Score]]&gt;=85,"Critical",Table310[[#This Row],[Risk Score]]&gt;=65,"High",Table310[[#This Row],[Risk Score]]&gt;=45,"Medium",TRUE,"Low")</f>
        <v>Low</v>
      </c>
    </row>
    <row r="29" spans="1:12" x14ac:dyDescent="0.3">
      <c r="A29" t="s">
        <v>2408</v>
      </c>
      <c r="B29" t="s">
        <v>2708</v>
      </c>
      <c r="C29" t="s">
        <v>189</v>
      </c>
      <c r="D29" t="s">
        <v>234</v>
      </c>
      <c r="E29" t="s">
        <v>3468</v>
      </c>
      <c r="F29" t="s">
        <v>3619</v>
      </c>
      <c r="G29" t="s">
        <v>2374</v>
      </c>
      <c r="H29" t="s">
        <v>2374</v>
      </c>
      <c r="I29" t="s">
        <v>2374</v>
      </c>
      <c r="J29" t="str">
        <f>IF(COUNTIF(Table5[Country],Table310[Country])&gt;0,"Y","N")</f>
        <v>Y</v>
      </c>
      <c r="K29">
        <f>IF(Table310[[#This Row],[Adverse Media]]="Y",15,0)+IF(Table310[[#This Row],[PEP]]="Y",50,0)+IF(Table310[[#This Row],[Sanctions]]="Y",70,0)+IF(Table310[[#This Row],[High Risk Country]]="Y",25,0)</f>
        <v>25</v>
      </c>
      <c r="L29" t="str">
        <f>_xlfn.IFS(Table310[[#This Row],[Risk Score]]&gt;=85,"Critical",Table310[[#This Row],[Risk Score]]&gt;=65,"High",Table310[[#This Row],[Risk Score]]&gt;=45,"Medium",TRUE,"Low")</f>
        <v>Low</v>
      </c>
    </row>
    <row r="30" spans="1:12" x14ac:dyDescent="0.3">
      <c r="A30" t="s">
        <v>2409</v>
      </c>
      <c r="B30" t="s">
        <v>2709</v>
      </c>
      <c r="C30" t="s">
        <v>189</v>
      </c>
      <c r="D30" t="s">
        <v>240</v>
      </c>
      <c r="E30" t="s">
        <v>3469</v>
      </c>
      <c r="F30" t="s">
        <v>3620</v>
      </c>
      <c r="G30" t="s">
        <v>2374</v>
      </c>
      <c r="H30" t="s">
        <v>2374</v>
      </c>
      <c r="I30" t="s">
        <v>2374</v>
      </c>
      <c r="J30" t="str">
        <f>IF(COUNTIF(Table5[Country],Table310[Country])&gt;0,"Y","N")</f>
        <v>N</v>
      </c>
      <c r="K30">
        <f>IF(Table310[[#This Row],[Adverse Media]]="Y",15,0)+IF(Table310[[#This Row],[PEP]]="Y",50,0)+IF(Table310[[#This Row],[Sanctions]]="Y",70,0)+IF(Table310[[#This Row],[High Risk Country]]="Y",25,0)</f>
        <v>0</v>
      </c>
      <c r="L30" t="str">
        <f>_xlfn.IFS(Table310[[#This Row],[Risk Score]]&gt;=85,"Critical",Table310[[#This Row],[Risk Score]]&gt;=65,"High",Table310[[#This Row],[Risk Score]]&gt;=45,"Medium",TRUE,"Low")</f>
        <v>Low</v>
      </c>
    </row>
    <row r="31" spans="1:12" x14ac:dyDescent="0.3">
      <c r="A31" t="s">
        <v>2410</v>
      </c>
      <c r="B31" t="s">
        <v>2710</v>
      </c>
      <c r="C31" t="s">
        <v>189</v>
      </c>
      <c r="D31" t="s">
        <v>240</v>
      </c>
      <c r="E31" t="s">
        <v>1830</v>
      </c>
      <c r="F31" t="s">
        <v>3621</v>
      </c>
      <c r="G31" t="s">
        <v>2374</v>
      </c>
      <c r="H31" t="s">
        <v>2374</v>
      </c>
      <c r="I31" t="s">
        <v>2374</v>
      </c>
      <c r="J31" t="str">
        <f>IF(COUNTIF(Table5[Country],Table310[Country])&gt;0,"Y","N")</f>
        <v>N</v>
      </c>
      <c r="K31">
        <f>IF(Table310[[#This Row],[Adverse Media]]="Y",15,0)+IF(Table310[[#This Row],[PEP]]="Y",50,0)+IF(Table310[[#This Row],[Sanctions]]="Y",70,0)+IF(Table310[[#This Row],[High Risk Country]]="Y",25,0)</f>
        <v>0</v>
      </c>
      <c r="L31" t="str">
        <f>_xlfn.IFS(Table310[[#This Row],[Risk Score]]&gt;=85,"Critical",Table310[[#This Row],[Risk Score]]&gt;=65,"High",Table310[[#This Row],[Risk Score]]&gt;=45,"Medium",TRUE,"Low")</f>
        <v>Low</v>
      </c>
    </row>
    <row r="32" spans="1:12" x14ac:dyDescent="0.3">
      <c r="A32" t="s">
        <v>2411</v>
      </c>
      <c r="B32" t="s">
        <v>2711</v>
      </c>
      <c r="C32" t="s">
        <v>189</v>
      </c>
      <c r="D32" t="s">
        <v>194</v>
      </c>
      <c r="E32" t="s">
        <v>1944</v>
      </c>
      <c r="F32" t="s">
        <v>2288</v>
      </c>
      <c r="G32" t="s">
        <v>2375</v>
      </c>
      <c r="H32" t="s">
        <v>2374</v>
      </c>
      <c r="I32" t="s">
        <v>2374</v>
      </c>
      <c r="J32" t="str">
        <f>IF(COUNTIF(Table5[Country],Table310[Country])&gt;0,"Y","N")</f>
        <v>Y</v>
      </c>
      <c r="K32">
        <f>IF(Table310[[#This Row],[Adverse Media]]="Y",15,0)+IF(Table310[[#This Row],[PEP]]="Y",50,0)+IF(Table310[[#This Row],[Sanctions]]="Y",70,0)+IF(Table310[[#This Row],[High Risk Country]]="Y",25,0)</f>
        <v>40</v>
      </c>
      <c r="L32" t="str">
        <f>_xlfn.IFS(Table310[[#This Row],[Risk Score]]&gt;=85,"Critical",Table310[[#This Row],[Risk Score]]&gt;=65,"High",Table310[[#This Row],[Risk Score]]&gt;=45,"Medium",TRUE,"Low")</f>
        <v>Low</v>
      </c>
    </row>
    <row r="33" spans="1:12" x14ac:dyDescent="0.3">
      <c r="A33" t="s">
        <v>2412</v>
      </c>
      <c r="B33" t="s">
        <v>2712</v>
      </c>
      <c r="C33" t="s">
        <v>189</v>
      </c>
      <c r="D33" t="s">
        <v>197</v>
      </c>
      <c r="E33" t="s">
        <v>308</v>
      </c>
      <c r="F33" t="s">
        <v>2306</v>
      </c>
      <c r="G33" t="s">
        <v>2375</v>
      </c>
      <c r="H33" t="s">
        <v>2374</v>
      </c>
      <c r="I33" t="s">
        <v>2374</v>
      </c>
      <c r="J33" t="str">
        <f>IF(COUNTIF(Table5[Country],Table310[Country])&gt;0,"Y","N")</f>
        <v>Y</v>
      </c>
      <c r="K33">
        <f>IF(Table310[[#This Row],[Adverse Media]]="Y",15,0)+IF(Table310[[#This Row],[PEP]]="Y",50,0)+IF(Table310[[#This Row],[Sanctions]]="Y",70,0)+IF(Table310[[#This Row],[High Risk Country]]="Y",25,0)</f>
        <v>40</v>
      </c>
      <c r="L33" t="str">
        <f>_xlfn.IFS(Table310[[#This Row],[Risk Score]]&gt;=85,"Critical",Table310[[#This Row],[Risk Score]]&gt;=65,"High",Table310[[#This Row],[Risk Score]]&gt;=45,"Medium",TRUE,"Low")</f>
        <v>Low</v>
      </c>
    </row>
    <row r="34" spans="1:12" x14ac:dyDescent="0.3">
      <c r="A34" t="s">
        <v>2413</v>
      </c>
      <c r="B34" t="s">
        <v>2713</v>
      </c>
      <c r="C34" t="s">
        <v>189</v>
      </c>
      <c r="D34" t="s">
        <v>231</v>
      </c>
      <c r="E34" t="s">
        <v>3470</v>
      </c>
      <c r="F34" t="s">
        <v>3622</v>
      </c>
      <c r="G34" t="s">
        <v>2374</v>
      </c>
      <c r="H34" t="s">
        <v>2374</v>
      </c>
      <c r="I34" t="s">
        <v>2374</v>
      </c>
      <c r="J34" t="str">
        <f>IF(COUNTIF(Table5[Country],Table310[Country])&gt;0,"Y","N")</f>
        <v>N</v>
      </c>
      <c r="K34">
        <f>IF(Table310[[#This Row],[Adverse Media]]="Y",15,0)+IF(Table310[[#This Row],[PEP]]="Y",50,0)+IF(Table310[[#This Row],[Sanctions]]="Y",70,0)+IF(Table310[[#This Row],[High Risk Country]]="Y",25,0)</f>
        <v>0</v>
      </c>
      <c r="L34" t="str">
        <f>_xlfn.IFS(Table310[[#This Row],[Risk Score]]&gt;=85,"Critical",Table310[[#This Row],[Risk Score]]&gt;=65,"High",Table310[[#This Row],[Risk Score]]&gt;=45,"Medium",TRUE,"Low")</f>
        <v>Low</v>
      </c>
    </row>
    <row r="35" spans="1:12" x14ac:dyDescent="0.3">
      <c r="A35" t="s">
        <v>2414</v>
      </c>
      <c r="B35" t="s">
        <v>2714</v>
      </c>
      <c r="C35" t="s">
        <v>189</v>
      </c>
      <c r="D35" t="s">
        <v>241</v>
      </c>
      <c r="E35" t="s">
        <v>3471</v>
      </c>
      <c r="F35" t="s">
        <v>3623</v>
      </c>
      <c r="G35" t="s">
        <v>2375</v>
      </c>
      <c r="H35" t="s">
        <v>2374</v>
      </c>
      <c r="I35" t="s">
        <v>2374</v>
      </c>
      <c r="J35" t="str">
        <f>IF(COUNTIF(Table5[Country],Table310[Country])&gt;0,"Y","N")</f>
        <v>N</v>
      </c>
      <c r="K35">
        <f>IF(Table310[[#This Row],[Adverse Media]]="Y",15,0)+IF(Table310[[#This Row],[PEP]]="Y",50,0)+IF(Table310[[#This Row],[Sanctions]]="Y",70,0)+IF(Table310[[#This Row],[High Risk Country]]="Y",25,0)</f>
        <v>15</v>
      </c>
      <c r="L35" t="str">
        <f>_xlfn.IFS(Table310[[#This Row],[Risk Score]]&gt;=85,"Critical",Table310[[#This Row],[Risk Score]]&gt;=65,"High",Table310[[#This Row],[Risk Score]]&gt;=45,"Medium",TRUE,"Low")</f>
        <v>Low</v>
      </c>
    </row>
    <row r="36" spans="1:12" x14ac:dyDescent="0.3">
      <c r="A36" t="s">
        <v>2415</v>
      </c>
      <c r="B36" t="s">
        <v>2715</v>
      </c>
      <c r="C36" t="s">
        <v>189</v>
      </c>
      <c r="D36" t="s">
        <v>195</v>
      </c>
      <c r="E36" t="s">
        <v>3472</v>
      </c>
      <c r="F36" t="s">
        <v>3624</v>
      </c>
      <c r="G36" t="s">
        <v>2375</v>
      </c>
      <c r="H36" t="s">
        <v>2374</v>
      </c>
      <c r="I36" t="s">
        <v>2374</v>
      </c>
      <c r="J36" t="str">
        <f>IF(COUNTIF(Table5[Country],Table310[Country])&gt;0,"Y","N")</f>
        <v>N</v>
      </c>
      <c r="K36">
        <f>IF(Table310[[#This Row],[Adverse Media]]="Y",15,0)+IF(Table310[[#This Row],[PEP]]="Y",50,0)+IF(Table310[[#This Row],[Sanctions]]="Y",70,0)+IF(Table310[[#This Row],[High Risk Country]]="Y",25,0)</f>
        <v>15</v>
      </c>
      <c r="L36" t="str">
        <f>_xlfn.IFS(Table310[[#This Row],[Risk Score]]&gt;=85,"Critical",Table310[[#This Row],[Risk Score]]&gt;=65,"High",Table310[[#This Row],[Risk Score]]&gt;=45,"Medium",TRUE,"Low")</f>
        <v>Low</v>
      </c>
    </row>
    <row r="37" spans="1:12" x14ac:dyDescent="0.3">
      <c r="A37" t="s">
        <v>2416</v>
      </c>
      <c r="B37" t="s">
        <v>2716</v>
      </c>
      <c r="C37" t="s">
        <v>189</v>
      </c>
      <c r="D37" t="s">
        <v>204</v>
      </c>
      <c r="E37" t="s">
        <v>3424</v>
      </c>
      <c r="F37" t="s">
        <v>3625</v>
      </c>
      <c r="G37" t="s">
        <v>2375</v>
      </c>
      <c r="H37" t="s">
        <v>2374</v>
      </c>
      <c r="I37" t="s">
        <v>2374</v>
      </c>
      <c r="J37" t="str">
        <f>IF(COUNTIF(Table5[Country],Table310[Country])&gt;0,"Y","N")</f>
        <v>Y</v>
      </c>
      <c r="K37">
        <f>IF(Table310[[#This Row],[Adverse Media]]="Y",15,0)+IF(Table310[[#This Row],[PEP]]="Y",50,0)+IF(Table310[[#This Row],[Sanctions]]="Y",70,0)+IF(Table310[[#This Row],[High Risk Country]]="Y",25,0)</f>
        <v>40</v>
      </c>
      <c r="L37" t="str">
        <f>_xlfn.IFS(Table310[[#This Row],[Risk Score]]&gt;=85,"Critical",Table310[[#This Row],[Risk Score]]&gt;=65,"High",Table310[[#This Row],[Risk Score]]&gt;=45,"Medium",TRUE,"Low")</f>
        <v>Low</v>
      </c>
    </row>
    <row r="38" spans="1:12" x14ac:dyDescent="0.3">
      <c r="A38" t="s">
        <v>2417</v>
      </c>
      <c r="B38" t="s">
        <v>2717</v>
      </c>
      <c r="C38" t="s">
        <v>189</v>
      </c>
      <c r="D38" t="s">
        <v>192</v>
      </c>
      <c r="E38" t="s">
        <v>292</v>
      </c>
      <c r="F38" t="s">
        <v>3626</v>
      </c>
      <c r="G38" t="s">
        <v>2374</v>
      </c>
      <c r="H38" t="s">
        <v>2374</v>
      </c>
      <c r="I38" t="s">
        <v>2374</v>
      </c>
      <c r="J38" t="str">
        <f>IF(COUNTIF(Table5[Country],Table310[Country])&gt;0,"Y","N")</f>
        <v>N</v>
      </c>
      <c r="K38">
        <f>IF(Table310[[#This Row],[Adverse Media]]="Y",15,0)+IF(Table310[[#This Row],[PEP]]="Y",50,0)+IF(Table310[[#This Row],[Sanctions]]="Y",70,0)+IF(Table310[[#This Row],[High Risk Country]]="Y",25,0)</f>
        <v>0</v>
      </c>
      <c r="L38" t="str">
        <f>_xlfn.IFS(Table310[[#This Row],[Risk Score]]&gt;=85,"Critical",Table310[[#This Row],[Risk Score]]&gt;=65,"High",Table310[[#This Row],[Risk Score]]&gt;=45,"Medium",TRUE,"Low")</f>
        <v>Low</v>
      </c>
    </row>
    <row r="39" spans="1:12" x14ac:dyDescent="0.3">
      <c r="A39" t="s">
        <v>2418</v>
      </c>
      <c r="B39" t="s">
        <v>2718</v>
      </c>
      <c r="C39" t="s">
        <v>189</v>
      </c>
      <c r="D39" t="s">
        <v>240</v>
      </c>
      <c r="E39" t="s">
        <v>3473</v>
      </c>
      <c r="F39" t="s">
        <v>3627</v>
      </c>
      <c r="G39" t="s">
        <v>2375</v>
      </c>
      <c r="H39" t="s">
        <v>2374</v>
      </c>
      <c r="I39" t="s">
        <v>2374</v>
      </c>
      <c r="J39" t="str">
        <f>IF(COUNTIF(Table5[Country],Table310[Country])&gt;0,"Y","N")</f>
        <v>N</v>
      </c>
      <c r="K39">
        <f>IF(Table310[[#This Row],[Adverse Media]]="Y",15,0)+IF(Table310[[#This Row],[PEP]]="Y",50,0)+IF(Table310[[#This Row],[Sanctions]]="Y",70,0)+IF(Table310[[#This Row],[High Risk Country]]="Y",25,0)</f>
        <v>15</v>
      </c>
      <c r="L39" t="str">
        <f>_xlfn.IFS(Table310[[#This Row],[Risk Score]]&gt;=85,"Critical",Table310[[#This Row],[Risk Score]]&gt;=65,"High",Table310[[#This Row],[Risk Score]]&gt;=45,"Medium",TRUE,"Low")</f>
        <v>Low</v>
      </c>
    </row>
    <row r="40" spans="1:12" x14ac:dyDescent="0.3">
      <c r="A40" t="s">
        <v>2419</v>
      </c>
      <c r="B40" t="s">
        <v>2719</v>
      </c>
      <c r="C40" t="s">
        <v>189</v>
      </c>
      <c r="D40" t="s">
        <v>238</v>
      </c>
      <c r="E40" t="s">
        <v>3474</v>
      </c>
      <c r="F40" t="s">
        <v>3360</v>
      </c>
      <c r="G40" t="s">
        <v>2375</v>
      </c>
      <c r="H40" t="s">
        <v>2374</v>
      </c>
      <c r="I40" t="s">
        <v>2374</v>
      </c>
      <c r="J40" t="str">
        <f>IF(COUNTIF(Table5[Country],Table310[Country])&gt;0,"Y","N")</f>
        <v>N</v>
      </c>
      <c r="K40">
        <f>IF(Table310[[#This Row],[Adverse Media]]="Y",15,0)+IF(Table310[[#This Row],[PEP]]="Y",50,0)+IF(Table310[[#This Row],[Sanctions]]="Y",70,0)+IF(Table310[[#This Row],[High Risk Country]]="Y",25,0)</f>
        <v>15</v>
      </c>
      <c r="L40" t="str">
        <f>_xlfn.IFS(Table310[[#This Row],[Risk Score]]&gt;=85,"Critical",Table310[[#This Row],[Risk Score]]&gt;=65,"High",Table310[[#This Row],[Risk Score]]&gt;=45,"Medium",TRUE,"Low")</f>
        <v>Low</v>
      </c>
    </row>
    <row r="41" spans="1:12" x14ac:dyDescent="0.3">
      <c r="A41" t="s">
        <v>2420</v>
      </c>
      <c r="B41" t="s">
        <v>2720</v>
      </c>
      <c r="C41" t="s">
        <v>189</v>
      </c>
      <c r="D41" t="s">
        <v>228</v>
      </c>
      <c r="E41" t="s">
        <v>3475</v>
      </c>
      <c r="F41" t="s">
        <v>263</v>
      </c>
      <c r="G41" t="s">
        <v>2375</v>
      </c>
      <c r="H41" t="s">
        <v>2374</v>
      </c>
      <c r="I41" t="s">
        <v>2374</v>
      </c>
      <c r="J41" t="str">
        <f>IF(COUNTIF(Table5[Country],Table310[Country])&gt;0,"Y","N")</f>
        <v>N</v>
      </c>
      <c r="K41">
        <f>IF(Table310[[#This Row],[Adverse Media]]="Y",15,0)+IF(Table310[[#This Row],[PEP]]="Y",50,0)+IF(Table310[[#This Row],[Sanctions]]="Y",70,0)+IF(Table310[[#This Row],[High Risk Country]]="Y",25,0)</f>
        <v>15</v>
      </c>
      <c r="L41" t="str">
        <f>_xlfn.IFS(Table310[[#This Row],[Risk Score]]&gt;=85,"Critical",Table310[[#This Row],[Risk Score]]&gt;=65,"High",Table310[[#This Row],[Risk Score]]&gt;=45,"Medium",TRUE,"Low")</f>
        <v>Low</v>
      </c>
    </row>
    <row r="42" spans="1:12" x14ac:dyDescent="0.3">
      <c r="A42" t="s">
        <v>2421</v>
      </c>
      <c r="B42" t="s">
        <v>2721</v>
      </c>
      <c r="C42" t="s">
        <v>189</v>
      </c>
      <c r="D42" t="s">
        <v>225</v>
      </c>
      <c r="E42" t="s">
        <v>3294</v>
      </c>
      <c r="F42" t="s">
        <v>532</v>
      </c>
      <c r="G42" t="s">
        <v>2375</v>
      </c>
      <c r="H42" t="s">
        <v>2374</v>
      </c>
      <c r="I42" t="s">
        <v>2374</v>
      </c>
      <c r="J42" t="str">
        <f>IF(COUNTIF(Table5[Country],Table310[Country])&gt;0,"Y","N")</f>
        <v>N</v>
      </c>
      <c r="K42">
        <f>IF(Table310[[#This Row],[Adverse Media]]="Y",15,0)+IF(Table310[[#This Row],[PEP]]="Y",50,0)+IF(Table310[[#This Row],[Sanctions]]="Y",70,0)+IF(Table310[[#This Row],[High Risk Country]]="Y",25,0)</f>
        <v>15</v>
      </c>
      <c r="L42" t="str">
        <f>_xlfn.IFS(Table310[[#This Row],[Risk Score]]&gt;=85,"Critical",Table310[[#This Row],[Risk Score]]&gt;=65,"High",Table310[[#This Row],[Risk Score]]&gt;=45,"Medium",TRUE,"Low")</f>
        <v>Low</v>
      </c>
    </row>
    <row r="43" spans="1:12" x14ac:dyDescent="0.3">
      <c r="A43" t="s">
        <v>2422</v>
      </c>
      <c r="B43" t="s">
        <v>2722</v>
      </c>
      <c r="C43" t="s">
        <v>189</v>
      </c>
      <c r="D43" t="s">
        <v>235</v>
      </c>
      <c r="E43" t="s">
        <v>2287</v>
      </c>
      <c r="F43" t="s">
        <v>3628</v>
      </c>
      <c r="G43" t="s">
        <v>2375</v>
      </c>
      <c r="H43" t="s">
        <v>2374</v>
      </c>
      <c r="I43" t="s">
        <v>2374</v>
      </c>
      <c r="J43" t="str">
        <f>IF(COUNTIF(Table5[Country],Table310[Country])&gt;0,"Y","N")</f>
        <v>N</v>
      </c>
      <c r="K43">
        <f>IF(Table310[[#This Row],[Adverse Media]]="Y",15,0)+IF(Table310[[#This Row],[PEP]]="Y",50,0)+IF(Table310[[#This Row],[Sanctions]]="Y",70,0)+IF(Table310[[#This Row],[High Risk Country]]="Y",25,0)</f>
        <v>15</v>
      </c>
      <c r="L43" t="str">
        <f>_xlfn.IFS(Table310[[#This Row],[Risk Score]]&gt;=85,"Critical",Table310[[#This Row],[Risk Score]]&gt;=65,"High",Table310[[#This Row],[Risk Score]]&gt;=45,"Medium",TRUE,"Low")</f>
        <v>Low</v>
      </c>
    </row>
    <row r="44" spans="1:12" x14ac:dyDescent="0.3">
      <c r="A44" t="s">
        <v>2423</v>
      </c>
      <c r="B44" t="s">
        <v>2723</v>
      </c>
      <c r="C44" t="s">
        <v>189</v>
      </c>
      <c r="D44" t="s">
        <v>225</v>
      </c>
      <c r="E44" t="s">
        <v>3476</v>
      </c>
      <c r="F44" t="s">
        <v>3629</v>
      </c>
      <c r="G44" t="s">
        <v>2375</v>
      </c>
      <c r="H44" t="s">
        <v>2374</v>
      </c>
      <c r="I44" t="s">
        <v>2374</v>
      </c>
      <c r="J44" t="str">
        <f>IF(COUNTIF(Table5[Country],Table310[Country])&gt;0,"Y","N")</f>
        <v>N</v>
      </c>
      <c r="K44">
        <f>IF(Table310[[#This Row],[Adverse Media]]="Y",15,0)+IF(Table310[[#This Row],[PEP]]="Y",50,0)+IF(Table310[[#This Row],[Sanctions]]="Y",70,0)+IF(Table310[[#This Row],[High Risk Country]]="Y",25,0)</f>
        <v>15</v>
      </c>
      <c r="L44" t="str">
        <f>_xlfn.IFS(Table310[[#This Row],[Risk Score]]&gt;=85,"Critical",Table310[[#This Row],[Risk Score]]&gt;=65,"High",Table310[[#This Row],[Risk Score]]&gt;=45,"Medium",TRUE,"Low")</f>
        <v>Low</v>
      </c>
    </row>
    <row r="45" spans="1:12" x14ac:dyDescent="0.3">
      <c r="A45" t="s">
        <v>2424</v>
      </c>
      <c r="B45" t="s">
        <v>2724</v>
      </c>
      <c r="C45" t="s">
        <v>189</v>
      </c>
      <c r="D45" t="s">
        <v>214</v>
      </c>
      <c r="E45" t="s">
        <v>338</v>
      </c>
      <c r="F45" t="s">
        <v>622</v>
      </c>
      <c r="G45" t="s">
        <v>2374</v>
      </c>
      <c r="H45" t="s">
        <v>2374</v>
      </c>
      <c r="I45" t="s">
        <v>2374</v>
      </c>
      <c r="J45" t="str">
        <f>IF(COUNTIF(Table5[Country],Table310[Country])&gt;0,"Y","N")</f>
        <v>N</v>
      </c>
      <c r="K45">
        <f>IF(Table310[[#This Row],[Adverse Media]]="Y",15,0)+IF(Table310[[#This Row],[PEP]]="Y",50,0)+IF(Table310[[#This Row],[Sanctions]]="Y",70,0)+IF(Table310[[#This Row],[High Risk Country]]="Y",25,0)</f>
        <v>0</v>
      </c>
      <c r="L45" t="str">
        <f>_xlfn.IFS(Table310[[#This Row],[Risk Score]]&gt;=85,"Critical",Table310[[#This Row],[Risk Score]]&gt;=65,"High",Table310[[#This Row],[Risk Score]]&gt;=45,"Medium",TRUE,"Low")</f>
        <v>Low</v>
      </c>
    </row>
    <row r="46" spans="1:12" x14ac:dyDescent="0.3">
      <c r="A46" t="s">
        <v>2425</v>
      </c>
      <c r="B46" t="s">
        <v>2725</v>
      </c>
      <c r="C46" t="s">
        <v>189</v>
      </c>
      <c r="D46" t="s">
        <v>198</v>
      </c>
      <c r="E46" t="s">
        <v>3477</v>
      </c>
      <c r="F46" t="s">
        <v>3630</v>
      </c>
      <c r="G46" t="s">
        <v>2374</v>
      </c>
      <c r="H46" t="s">
        <v>2374</v>
      </c>
      <c r="I46" t="s">
        <v>2374</v>
      </c>
      <c r="J46" t="str">
        <f>IF(COUNTIF(Table5[Country],Table310[Country])&gt;0,"Y","N")</f>
        <v>N</v>
      </c>
      <c r="K46">
        <f>IF(Table310[[#This Row],[Adverse Media]]="Y",15,0)+IF(Table310[[#This Row],[PEP]]="Y",50,0)+IF(Table310[[#This Row],[Sanctions]]="Y",70,0)+IF(Table310[[#This Row],[High Risk Country]]="Y",25,0)</f>
        <v>0</v>
      </c>
      <c r="L46" t="str">
        <f>_xlfn.IFS(Table310[[#This Row],[Risk Score]]&gt;=85,"Critical",Table310[[#This Row],[Risk Score]]&gt;=65,"High",Table310[[#This Row],[Risk Score]]&gt;=45,"Medium",TRUE,"Low")</f>
        <v>Low</v>
      </c>
    </row>
    <row r="47" spans="1:12" x14ac:dyDescent="0.3">
      <c r="A47" t="s">
        <v>2426</v>
      </c>
      <c r="B47" t="s">
        <v>2726</v>
      </c>
      <c r="C47" t="s">
        <v>189</v>
      </c>
      <c r="D47" t="s">
        <v>206</v>
      </c>
      <c r="E47" t="s">
        <v>507</v>
      </c>
      <c r="F47" t="s">
        <v>346</v>
      </c>
      <c r="G47" t="s">
        <v>2375</v>
      </c>
      <c r="H47" t="s">
        <v>2374</v>
      </c>
      <c r="I47" t="s">
        <v>2374</v>
      </c>
      <c r="J47" t="str">
        <f>IF(COUNTIF(Table5[Country],Table310[Country])&gt;0,"Y","N")</f>
        <v>Y</v>
      </c>
      <c r="K47">
        <f>IF(Table310[[#This Row],[Adverse Media]]="Y",15,0)+IF(Table310[[#This Row],[PEP]]="Y",50,0)+IF(Table310[[#This Row],[Sanctions]]="Y",70,0)+IF(Table310[[#This Row],[High Risk Country]]="Y",25,0)</f>
        <v>40</v>
      </c>
      <c r="L47" t="str">
        <f>_xlfn.IFS(Table310[[#This Row],[Risk Score]]&gt;=85,"Critical",Table310[[#This Row],[Risk Score]]&gt;=65,"High",Table310[[#This Row],[Risk Score]]&gt;=45,"Medium",TRUE,"Low")</f>
        <v>Low</v>
      </c>
    </row>
    <row r="48" spans="1:12" x14ac:dyDescent="0.3">
      <c r="A48" t="s">
        <v>2427</v>
      </c>
      <c r="B48" t="s">
        <v>2727</v>
      </c>
      <c r="C48" t="s">
        <v>189</v>
      </c>
      <c r="D48" t="s">
        <v>202</v>
      </c>
      <c r="E48" t="s">
        <v>676</v>
      </c>
      <c r="F48" t="s">
        <v>3631</v>
      </c>
      <c r="G48" t="s">
        <v>2375</v>
      </c>
      <c r="H48" t="s">
        <v>2374</v>
      </c>
      <c r="I48" t="s">
        <v>2374</v>
      </c>
      <c r="J48" t="str">
        <f>IF(COUNTIF(Table5[Country],Table310[Country])&gt;0,"Y","N")</f>
        <v>N</v>
      </c>
      <c r="K48">
        <f>IF(Table310[[#This Row],[Adverse Media]]="Y",15,0)+IF(Table310[[#This Row],[PEP]]="Y",50,0)+IF(Table310[[#This Row],[Sanctions]]="Y",70,0)+IF(Table310[[#This Row],[High Risk Country]]="Y",25,0)</f>
        <v>15</v>
      </c>
      <c r="L48" t="str">
        <f>_xlfn.IFS(Table310[[#This Row],[Risk Score]]&gt;=85,"Critical",Table310[[#This Row],[Risk Score]]&gt;=65,"High",Table310[[#This Row],[Risk Score]]&gt;=45,"Medium",TRUE,"Low")</f>
        <v>Low</v>
      </c>
    </row>
    <row r="49" spans="1:12" x14ac:dyDescent="0.3">
      <c r="A49" t="s">
        <v>2428</v>
      </c>
      <c r="B49" t="s">
        <v>2728</v>
      </c>
      <c r="C49" t="s">
        <v>189</v>
      </c>
      <c r="D49" t="s">
        <v>247</v>
      </c>
      <c r="E49" t="s">
        <v>3478</v>
      </c>
      <c r="F49" t="s">
        <v>647</v>
      </c>
      <c r="G49" t="s">
        <v>2374</v>
      </c>
      <c r="H49" t="s">
        <v>2374</v>
      </c>
      <c r="I49" t="s">
        <v>2374</v>
      </c>
      <c r="J49" t="str">
        <f>IF(COUNTIF(Table5[Country],Table310[Country])&gt;0,"Y","N")</f>
        <v>Y</v>
      </c>
      <c r="K49">
        <f>IF(Table310[[#This Row],[Adverse Media]]="Y",15,0)+IF(Table310[[#This Row],[PEP]]="Y",50,0)+IF(Table310[[#This Row],[Sanctions]]="Y",70,0)+IF(Table310[[#This Row],[High Risk Country]]="Y",25,0)</f>
        <v>25</v>
      </c>
      <c r="L49" t="str">
        <f>_xlfn.IFS(Table310[[#This Row],[Risk Score]]&gt;=85,"Critical",Table310[[#This Row],[Risk Score]]&gt;=65,"High",Table310[[#This Row],[Risk Score]]&gt;=45,"Medium",TRUE,"Low")</f>
        <v>Low</v>
      </c>
    </row>
    <row r="50" spans="1:12" x14ac:dyDescent="0.3">
      <c r="A50" t="s">
        <v>2429</v>
      </c>
      <c r="B50" t="s">
        <v>2729</v>
      </c>
      <c r="C50" t="s">
        <v>189</v>
      </c>
      <c r="D50" t="s">
        <v>227</v>
      </c>
      <c r="E50" t="s">
        <v>430</v>
      </c>
      <c r="F50" t="s">
        <v>577</v>
      </c>
      <c r="G50" t="s">
        <v>2375</v>
      </c>
      <c r="H50" t="s">
        <v>2375</v>
      </c>
      <c r="I50" t="s">
        <v>2374</v>
      </c>
      <c r="J50" t="str">
        <f>IF(COUNTIF(Table5[Country],Table310[Country])&gt;0,"Y","N")</f>
        <v>N</v>
      </c>
      <c r="K50">
        <f>IF(Table310[[#This Row],[Adverse Media]]="Y",15,0)+IF(Table310[[#This Row],[PEP]]="Y",50,0)+IF(Table310[[#This Row],[Sanctions]]="Y",70,0)+IF(Table310[[#This Row],[High Risk Country]]="Y",25,0)</f>
        <v>65</v>
      </c>
      <c r="L50" t="str">
        <f>_xlfn.IFS(Table310[[#This Row],[Risk Score]]&gt;=85,"Critical",Table310[[#This Row],[Risk Score]]&gt;=65,"High",Table310[[#This Row],[Risk Score]]&gt;=45,"Medium",TRUE,"Low")</f>
        <v>High</v>
      </c>
    </row>
    <row r="51" spans="1:12" x14ac:dyDescent="0.3">
      <c r="A51" t="s">
        <v>2430</v>
      </c>
      <c r="B51" t="s">
        <v>2730</v>
      </c>
      <c r="C51" t="s">
        <v>189</v>
      </c>
      <c r="D51" t="s">
        <v>233</v>
      </c>
      <c r="E51" t="s">
        <v>382</v>
      </c>
      <c r="F51" t="s">
        <v>3632</v>
      </c>
      <c r="G51" t="s">
        <v>2374</v>
      </c>
      <c r="H51" t="s">
        <v>2375</v>
      </c>
      <c r="I51" t="s">
        <v>2374</v>
      </c>
      <c r="J51" t="str">
        <f>IF(COUNTIF(Table5[Country],Table310[Country])&gt;0,"Y","N")</f>
        <v>N</v>
      </c>
      <c r="K51">
        <f>IF(Table310[[#This Row],[Adverse Media]]="Y",15,0)+IF(Table310[[#This Row],[PEP]]="Y",50,0)+IF(Table310[[#This Row],[Sanctions]]="Y",70,0)+IF(Table310[[#This Row],[High Risk Country]]="Y",25,0)</f>
        <v>50</v>
      </c>
      <c r="L51" t="str">
        <f>_xlfn.IFS(Table310[[#This Row],[Risk Score]]&gt;=85,"Critical",Table310[[#This Row],[Risk Score]]&gt;=65,"High",Table310[[#This Row],[Risk Score]]&gt;=45,"Medium",TRUE,"Low")</f>
        <v>Medium</v>
      </c>
    </row>
    <row r="52" spans="1:12" x14ac:dyDescent="0.3">
      <c r="A52" t="s">
        <v>2431</v>
      </c>
      <c r="B52" t="s">
        <v>2731</v>
      </c>
      <c r="C52" t="s">
        <v>189</v>
      </c>
      <c r="D52" t="s">
        <v>240</v>
      </c>
      <c r="E52" t="s">
        <v>2015</v>
      </c>
      <c r="F52" t="s">
        <v>3633</v>
      </c>
      <c r="G52" t="s">
        <v>2375</v>
      </c>
      <c r="H52" t="s">
        <v>2374</v>
      </c>
      <c r="I52" t="s">
        <v>2374</v>
      </c>
      <c r="J52" t="str">
        <f>IF(COUNTIF(Table5[Country],Table310[Country])&gt;0,"Y","N")</f>
        <v>N</v>
      </c>
      <c r="K52">
        <f>IF(Table310[[#This Row],[Adverse Media]]="Y",15,0)+IF(Table310[[#This Row],[PEP]]="Y",50,0)+IF(Table310[[#This Row],[Sanctions]]="Y",70,0)+IF(Table310[[#This Row],[High Risk Country]]="Y",25,0)</f>
        <v>15</v>
      </c>
      <c r="L52" t="str">
        <f>_xlfn.IFS(Table310[[#This Row],[Risk Score]]&gt;=85,"Critical",Table310[[#This Row],[Risk Score]]&gt;=65,"High",Table310[[#This Row],[Risk Score]]&gt;=45,"Medium",TRUE,"Low")</f>
        <v>Low</v>
      </c>
    </row>
    <row r="53" spans="1:12" x14ac:dyDescent="0.3">
      <c r="A53" t="s">
        <v>2432</v>
      </c>
      <c r="B53" t="s">
        <v>2732</v>
      </c>
      <c r="C53" t="s">
        <v>189</v>
      </c>
      <c r="D53" t="s">
        <v>192</v>
      </c>
      <c r="E53" t="s">
        <v>546</v>
      </c>
      <c r="F53" t="s">
        <v>1948</v>
      </c>
      <c r="G53" t="s">
        <v>2374</v>
      </c>
      <c r="H53" t="s">
        <v>2374</v>
      </c>
      <c r="I53" t="s">
        <v>2374</v>
      </c>
      <c r="J53" t="str">
        <f>IF(COUNTIF(Table5[Country],Table310[Country])&gt;0,"Y","N")</f>
        <v>N</v>
      </c>
      <c r="K53">
        <f>IF(Table310[[#This Row],[Adverse Media]]="Y",15,0)+IF(Table310[[#This Row],[PEP]]="Y",50,0)+IF(Table310[[#This Row],[Sanctions]]="Y",70,0)+IF(Table310[[#This Row],[High Risk Country]]="Y",25,0)</f>
        <v>0</v>
      </c>
      <c r="L53" t="str">
        <f>_xlfn.IFS(Table310[[#This Row],[Risk Score]]&gt;=85,"Critical",Table310[[#This Row],[Risk Score]]&gt;=65,"High",Table310[[#This Row],[Risk Score]]&gt;=45,"Medium",TRUE,"Low")</f>
        <v>Low</v>
      </c>
    </row>
    <row r="54" spans="1:12" x14ac:dyDescent="0.3">
      <c r="A54" t="s">
        <v>2433</v>
      </c>
      <c r="B54" t="s">
        <v>2733</v>
      </c>
      <c r="C54" t="s">
        <v>189</v>
      </c>
      <c r="D54" t="s">
        <v>206</v>
      </c>
      <c r="E54" t="s">
        <v>3479</v>
      </c>
      <c r="F54" t="s">
        <v>657</v>
      </c>
      <c r="G54" t="s">
        <v>2374</v>
      </c>
      <c r="H54" t="s">
        <v>2375</v>
      </c>
      <c r="I54" t="s">
        <v>2374</v>
      </c>
      <c r="J54" t="str">
        <f>IF(COUNTIF(Table5[Country],Table310[Country])&gt;0,"Y","N")</f>
        <v>Y</v>
      </c>
      <c r="K54">
        <f>IF(Table310[[#This Row],[Adverse Media]]="Y",15,0)+IF(Table310[[#This Row],[PEP]]="Y",50,0)+IF(Table310[[#This Row],[Sanctions]]="Y",70,0)+IF(Table310[[#This Row],[High Risk Country]]="Y",25,0)</f>
        <v>75</v>
      </c>
      <c r="L54" t="str">
        <f>_xlfn.IFS(Table310[[#This Row],[Risk Score]]&gt;=85,"Critical",Table310[[#This Row],[Risk Score]]&gt;=65,"High",Table310[[#This Row],[Risk Score]]&gt;=45,"Medium",TRUE,"Low")</f>
        <v>High</v>
      </c>
    </row>
    <row r="55" spans="1:12" x14ac:dyDescent="0.3">
      <c r="A55" t="s">
        <v>2434</v>
      </c>
      <c r="B55" t="s">
        <v>2734</v>
      </c>
      <c r="C55" t="s">
        <v>189</v>
      </c>
      <c r="D55" t="s">
        <v>191</v>
      </c>
      <c r="E55" t="s">
        <v>3480</v>
      </c>
      <c r="F55" t="s">
        <v>1865</v>
      </c>
      <c r="G55" t="s">
        <v>2374</v>
      </c>
      <c r="H55" t="s">
        <v>2374</v>
      </c>
      <c r="I55" t="s">
        <v>2374</v>
      </c>
      <c r="J55" t="str">
        <f>IF(COUNTIF(Table5[Country],Table310[Country])&gt;0,"Y","N")</f>
        <v>N</v>
      </c>
      <c r="K55">
        <f>IF(Table310[[#This Row],[Adverse Media]]="Y",15,0)+IF(Table310[[#This Row],[PEP]]="Y",50,0)+IF(Table310[[#This Row],[Sanctions]]="Y",70,0)+IF(Table310[[#This Row],[High Risk Country]]="Y",25,0)</f>
        <v>0</v>
      </c>
      <c r="L55" t="str">
        <f>_xlfn.IFS(Table310[[#This Row],[Risk Score]]&gt;=85,"Critical",Table310[[#This Row],[Risk Score]]&gt;=65,"High",Table310[[#This Row],[Risk Score]]&gt;=45,"Medium",TRUE,"Low")</f>
        <v>Low</v>
      </c>
    </row>
    <row r="56" spans="1:12" x14ac:dyDescent="0.3">
      <c r="A56" t="s">
        <v>2435</v>
      </c>
      <c r="B56" t="s">
        <v>2735</v>
      </c>
      <c r="C56" t="s">
        <v>189</v>
      </c>
      <c r="D56" t="s">
        <v>191</v>
      </c>
      <c r="E56" t="s">
        <v>3481</v>
      </c>
      <c r="F56" t="s">
        <v>3634</v>
      </c>
      <c r="G56" t="s">
        <v>2375</v>
      </c>
      <c r="H56" t="s">
        <v>2375</v>
      </c>
      <c r="I56" t="s">
        <v>2374</v>
      </c>
      <c r="J56" t="str">
        <f>IF(COUNTIF(Table5[Country],Table310[Country])&gt;0,"Y","N")</f>
        <v>N</v>
      </c>
      <c r="K56">
        <f>IF(Table310[[#This Row],[Adverse Media]]="Y",15,0)+IF(Table310[[#This Row],[PEP]]="Y",50,0)+IF(Table310[[#This Row],[Sanctions]]="Y",70,0)+IF(Table310[[#This Row],[High Risk Country]]="Y",25,0)</f>
        <v>65</v>
      </c>
      <c r="L56" t="str">
        <f>_xlfn.IFS(Table310[[#This Row],[Risk Score]]&gt;=85,"Critical",Table310[[#This Row],[Risk Score]]&gt;=65,"High",Table310[[#This Row],[Risk Score]]&gt;=45,"Medium",TRUE,"Low")</f>
        <v>High</v>
      </c>
    </row>
    <row r="57" spans="1:12" x14ac:dyDescent="0.3">
      <c r="A57" t="s">
        <v>2436</v>
      </c>
      <c r="B57" t="s">
        <v>2736</v>
      </c>
      <c r="C57" t="s">
        <v>189</v>
      </c>
      <c r="D57" t="s">
        <v>200</v>
      </c>
      <c r="E57" t="s">
        <v>3482</v>
      </c>
      <c r="F57" t="s">
        <v>2345</v>
      </c>
      <c r="G57" t="s">
        <v>2374</v>
      </c>
      <c r="H57" t="s">
        <v>2374</v>
      </c>
      <c r="I57" t="s">
        <v>2374</v>
      </c>
      <c r="J57" t="str">
        <f>IF(COUNTIF(Table5[Country],Table310[Country])&gt;0,"Y","N")</f>
        <v>N</v>
      </c>
      <c r="K57">
        <f>IF(Table310[[#This Row],[Adverse Media]]="Y",15,0)+IF(Table310[[#This Row],[PEP]]="Y",50,0)+IF(Table310[[#This Row],[Sanctions]]="Y",70,0)+IF(Table310[[#This Row],[High Risk Country]]="Y",25,0)</f>
        <v>0</v>
      </c>
      <c r="L57" t="str">
        <f>_xlfn.IFS(Table310[[#This Row],[Risk Score]]&gt;=85,"Critical",Table310[[#This Row],[Risk Score]]&gt;=65,"High",Table310[[#This Row],[Risk Score]]&gt;=45,"Medium",TRUE,"Low")</f>
        <v>Low</v>
      </c>
    </row>
    <row r="58" spans="1:12" x14ac:dyDescent="0.3">
      <c r="A58" t="s">
        <v>2437</v>
      </c>
      <c r="B58" t="s">
        <v>2737</v>
      </c>
      <c r="C58" t="s">
        <v>189</v>
      </c>
      <c r="D58" t="s">
        <v>200</v>
      </c>
      <c r="E58" t="s">
        <v>524</v>
      </c>
      <c r="F58" t="s">
        <v>3635</v>
      </c>
      <c r="G58" t="s">
        <v>2375</v>
      </c>
      <c r="H58" t="s">
        <v>2375</v>
      </c>
      <c r="I58" t="s">
        <v>2374</v>
      </c>
      <c r="J58" t="str">
        <f>IF(COUNTIF(Table5[Country],Table310[Country])&gt;0,"Y","N")</f>
        <v>N</v>
      </c>
      <c r="K58">
        <f>IF(Table310[[#This Row],[Adverse Media]]="Y",15,0)+IF(Table310[[#This Row],[PEP]]="Y",50,0)+IF(Table310[[#This Row],[Sanctions]]="Y",70,0)+IF(Table310[[#This Row],[High Risk Country]]="Y",25,0)</f>
        <v>65</v>
      </c>
      <c r="L58" t="str">
        <f>_xlfn.IFS(Table310[[#This Row],[Risk Score]]&gt;=85,"Critical",Table310[[#This Row],[Risk Score]]&gt;=65,"High",Table310[[#This Row],[Risk Score]]&gt;=45,"Medium",TRUE,"Low")</f>
        <v>High</v>
      </c>
    </row>
    <row r="59" spans="1:12" x14ac:dyDescent="0.3">
      <c r="A59" t="s">
        <v>2438</v>
      </c>
      <c r="B59" t="s">
        <v>2738</v>
      </c>
      <c r="C59" t="s">
        <v>189</v>
      </c>
      <c r="D59" t="s">
        <v>243</v>
      </c>
      <c r="E59" t="s">
        <v>3483</v>
      </c>
      <c r="F59" t="s">
        <v>2042</v>
      </c>
      <c r="G59" t="s">
        <v>2374</v>
      </c>
      <c r="H59" t="s">
        <v>2374</v>
      </c>
      <c r="I59" t="s">
        <v>2374</v>
      </c>
      <c r="J59" t="str">
        <f>IF(COUNTIF(Table5[Country],Table310[Country])&gt;0,"Y","N")</f>
        <v>Y</v>
      </c>
      <c r="K59">
        <f>IF(Table310[[#This Row],[Adverse Media]]="Y",15,0)+IF(Table310[[#This Row],[PEP]]="Y",50,0)+IF(Table310[[#This Row],[Sanctions]]="Y",70,0)+IF(Table310[[#This Row],[High Risk Country]]="Y",25,0)</f>
        <v>25</v>
      </c>
      <c r="L59" t="str">
        <f>_xlfn.IFS(Table310[[#This Row],[Risk Score]]&gt;=85,"Critical",Table310[[#This Row],[Risk Score]]&gt;=65,"High",Table310[[#This Row],[Risk Score]]&gt;=45,"Medium",TRUE,"Low")</f>
        <v>Low</v>
      </c>
    </row>
    <row r="60" spans="1:12" x14ac:dyDescent="0.3">
      <c r="A60" t="s">
        <v>2439</v>
      </c>
      <c r="B60" t="s">
        <v>2739</v>
      </c>
      <c r="C60" t="s">
        <v>189</v>
      </c>
      <c r="D60" t="s">
        <v>219</v>
      </c>
      <c r="E60" t="s">
        <v>645</v>
      </c>
      <c r="F60" t="s">
        <v>343</v>
      </c>
      <c r="G60" t="s">
        <v>2374</v>
      </c>
      <c r="H60" t="s">
        <v>2375</v>
      </c>
      <c r="I60" t="s">
        <v>2374</v>
      </c>
      <c r="J60" t="str">
        <f>IF(COUNTIF(Table5[Country],Table310[Country])&gt;0,"Y","N")</f>
        <v>Y</v>
      </c>
      <c r="K60">
        <f>IF(Table310[[#This Row],[Adverse Media]]="Y",15,0)+IF(Table310[[#This Row],[PEP]]="Y",50,0)+IF(Table310[[#This Row],[Sanctions]]="Y",70,0)+IF(Table310[[#This Row],[High Risk Country]]="Y",25,0)</f>
        <v>75</v>
      </c>
      <c r="L60" t="str">
        <f>_xlfn.IFS(Table310[[#This Row],[Risk Score]]&gt;=85,"Critical",Table310[[#This Row],[Risk Score]]&gt;=65,"High",Table310[[#This Row],[Risk Score]]&gt;=45,"Medium",TRUE,"Low")</f>
        <v>High</v>
      </c>
    </row>
    <row r="61" spans="1:12" x14ac:dyDescent="0.3">
      <c r="A61" t="s">
        <v>2440</v>
      </c>
      <c r="B61" t="s">
        <v>2740</v>
      </c>
      <c r="C61" t="s">
        <v>189</v>
      </c>
      <c r="D61" t="s">
        <v>220</v>
      </c>
      <c r="E61" t="s">
        <v>3484</v>
      </c>
      <c r="F61" t="s">
        <v>3636</v>
      </c>
      <c r="G61" t="s">
        <v>2375</v>
      </c>
      <c r="H61" t="s">
        <v>2375</v>
      </c>
      <c r="I61" t="s">
        <v>2374</v>
      </c>
      <c r="J61" t="str">
        <f>IF(COUNTIF(Table5[Country],Table310[Country])&gt;0,"Y","N")</f>
        <v>N</v>
      </c>
      <c r="K61">
        <f>IF(Table310[[#This Row],[Adverse Media]]="Y",15,0)+IF(Table310[[#This Row],[PEP]]="Y",50,0)+IF(Table310[[#This Row],[Sanctions]]="Y",70,0)+IF(Table310[[#This Row],[High Risk Country]]="Y",25,0)</f>
        <v>65</v>
      </c>
      <c r="L61" t="str">
        <f>_xlfn.IFS(Table310[[#This Row],[Risk Score]]&gt;=85,"Critical",Table310[[#This Row],[Risk Score]]&gt;=65,"High",Table310[[#This Row],[Risk Score]]&gt;=45,"Medium",TRUE,"Low")</f>
        <v>High</v>
      </c>
    </row>
    <row r="62" spans="1:12" x14ac:dyDescent="0.3">
      <c r="A62" t="s">
        <v>2441</v>
      </c>
      <c r="B62" t="s">
        <v>2741</v>
      </c>
      <c r="C62" t="s">
        <v>189</v>
      </c>
      <c r="D62" t="s">
        <v>230</v>
      </c>
      <c r="E62" t="s">
        <v>2284</v>
      </c>
      <c r="F62" t="s">
        <v>3637</v>
      </c>
      <c r="G62" t="s">
        <v>2375</v>
      </c>
      <c r="H62" t="s">
        <v>2375</v>
      </c>
      <c r="I62" t="s">
        <v>2374</v>
      </c>
      <c r="J62" t="str">
        <f>IF(COUNTIF(Table5[Country],Table310[Country])&gt;0,"Y","N")</f>
        <v>N</v>
      </c>
      <c r="K62">
        <f>IF(Table310[[#This Row],[Adverse Media]]="Y",15,0)+IF(Table310[[#This Row],[PEP]]="Y",50,0)+IF(Table310[[#This Row],[Sanctions]]="Y",70,0)+IF(Table310[[#This Row],[High Risk Country]]="Y",25,0)</f>
        <v>65</v>
      </c>
      <c r="L62" t="str">
        <f>_xlfn.IFS(Table310[[#This Row],[Risk Score]]&gt;=85,"Critical",Table310[[#This Row],[Risk Score]]&gt;=65,"High",Table310[[#This Row],[Risk Score]]&gt;=45,"Medium",TRUE,"Low")</f>
        <v>High</v>
      </c>
    </row>
    <row r="63" spans="1:12" x14ac:dyDescent="0.3">
      <c r="A63" t="s">
        <v>2442</v>
      </c>
      <c r="B63" t="s">
        <v>2742</v>
      </c>
      <c r="C63" t="s">
        <v>189</v>
      </c>
      <c r="D63" t="s">
        <v>237</v>
      </c>
      <c r="E63" t="s">
        <v>3485</v>
      </c>
      <c r="F63" t="s">
        <v>264</v>
      </c>
      <c r="G63" t="s">
        <v>2375</v>
      </c>
      <c r="H63" t="s">
        <v>2374</v>
      </c>
      <c r="I63" t="s">
        <v>2375</v>
      </c>
      <c r="J63" t="str">
        <f>IF(COUNTIF(Table5[Country],Table310[Country])&gt;0,"Y","N")</f>
        <v>Y</v>
      </c>
      <c r="K63">
        <f>IF(Table310[[#This Row],[Adverse Media]]="Y",15,0)+IF(Table310[[#This Row],[PEP]]="Y",50,0)+IF(Table310[[#This Row],[Sanctions]]="Y",70,0)+IF(Table310[[#This Row],[High Risk Country]]="Y",25,0)</f>
        <v>110</v>
      </c>
      <c r="L63" t="str">
        <f>_xlfn.IFS(Table310[[#This Row],[Risk Score]]&gt;=85,"Critical",Table310[[#This Row],[Risk Score]]&gt;=65,"High",Table310[[#This Row],[Risk Score]]&gt;=45,"Medium",TRUE,"Low")</f>
        <v>Critical</v>
      </c>
    </row>
    <row r="64" spans="1:12" x14ac:dyDescent="0.3">
      <c r="A64" t="s">
        <v>2443</v>
      </c>
      <c r="B64" t="s">
        <v>2743</v>
      </c>
      <c r="C64" t="s">
        <v>189</v>
      </c>
      <c r="D64" t="s">
        <v>198</v>
      </c>
      <c r="E64" t="s">
        <v>3486</v>
      </c>
      <c r="F64" t="s">
        <v>3638</v>
      </c>
      <c r="G64" t="s">
        <v>2375</v>
      </c>
      <c r="H64" t="s">
        <v>2375</v>
      </c>
      <c r="I64" t="s">
        <v>2374</v>
      </c>
      <c r="J64" t="str">
        <f>IF(COUNTIF(Table5[Country],Table310[Country])&gt;0,"Y","N")</f>
        <v>N</v>
      </c>
      <c r="K64">
        <f>IF(Table310[[#This Row],[Adverse Media]]="Y",15,0)+IF(Table310[[#This Row],[PEP]]="Y",50,0)+IF(Table310[[#This Row],[Sanctions]]="Y",70,0)+IF(Table310[[#This Row],[High Risk Country]]="Y",25,0)</f>
        <v>65</v>
      </c>
      <c r="L64" t="str">
        <f>_xlfn.IFS(Table310[[#This Row],[Risk Score]]&gt;=85,"Critical",Table310[[#This Row],[Risk Score]]&gt;=65,"High",Table310[[#This Row],[Risk Score]]&gt;=45,"Medium",TRUE,"Low")</f>
        <v>High</v>
      </c>
    </row>
    <row r="65" spans="1:12" x14ac:dyDescent="0.3">
      <c r="A65" t="s">
        <v>2444</v>
      </c>
      <c r="B65" t="s">
        <v>2744</v>
      </c>
      <c r="C65" t="s">
        <v>189</v>
      </c>
      <c r="D65" t="s">
        <v>215</v>
      </c>
      <c r="E65" t="s">
        <v>410</v>
      </c>
      <c r="F65" t="s">
        <v>3639</v>
      </c>
      <c r="G65" t="s">
        <v>2375</v>
      </c>
      <c r="H65" t="s">
        <v>2375</v>
      </c>
      <c r="I65" t="s">
        <v>2374</v>
      </c>
      <c r="J65" t="str">
        <f>IF(COUNTIF(Table5[Country],Table310[Country])&gt;0,"Y","N")</f>
        <v>Y</v>
      </c>
      <c r="K65">
        <f>IF(Table310[[#This Row],[Adverse Media]]="Y",15,0)+IF(Table310[[#This Row],[PEP]]="Y",50,0)+IF(Table310[[#This Row],[Sanctions]]="Y",70,0)+IF(Table310[[#This Row],[High Risk Country]]="Y",25,0)</f>
        <v>90</v>
      </c>
      <c r="L65" t="str">
        <f>_xlfn.IFS(Table310[[#This Row],[Risk Score]]&gt;=85,"Critical",Table310[[#This Row],[Risk Score]]&gt;=65,"High",Table310[[#This Row],[Risk Score]]&gt;=45,"Medium",TRUE,"Low")</f>
        <v>Critical</v>
      </c>
    </row>
    <row r="66" spans="1:12" x14ac:dyDescent="0.3">
      <c r="A66" t="s">
        <v>2445</v>
      </c>
      <c r="B66" t="s">
        <v>2745</v>
      </c>
      <c r="C66" t="s">
        <v>189</v>
      </c>
      <c r="D66" t="s">
        <v>246</v>
      </c>
      <c r="E66" t="s">
        <v>3452</v>
      </c>
      <c r="F66" t="s">
        <v>3640</v>
      </c>
      <c r="G66" t="s">
        <v>2375</v>
      </c>
      <c r="H66" t="s">
        <v>2374</v>
      </c>
      <c r="I66" t="s">
        <v>2375</v>
      </c>
      <c r="J66" t="str">
        <f>IF(COUNTIF(Table5[Country],Table310[Country])&gt;0,"Y","N")</f>
        <v>N</v>
      </c>
      <c r="K66">
        <f>IF(Table310[[#This Row],[Adverse Media]]="Y",15,0)+IF(Table310[[#This Row],[PEP]]="Y",50,0)+IF(Table310[[#This Row],[Sanctions]]="Y",70,0)+IF(Table310[[#This Row],[High Risk Country]]="Y",25,0)</f>
        <v>85</v>
      </c>
      <c r="L66" t="str">
        <f>_xlfn.IFS(Table310[[#This Row],[Risk Score]]&gt;=85,"Critical",Table310[[#This Row],[Risk Score]]&gt;=65,"High",Table310[[#This Row],[Risk Score]]&gt;=45,"Medium",TRUE,"Low")</f>
        <v>Critical</v>
      </c>
    </row>
    <row r="67" spans="1:12" x14ac:dyDescent="0.3">
      <c r="A67" t="s">
        <v>2446</v>
      </c>
      <c r="B67" t="s">
        <v>2746</v>
      </c>
      <c r="C67" t="s">
        <v>189</v>
      </c>
      <c r="D67" t="s">
        <v>201</v>
      </c>
      <c r="E67" t="s">
        <v>551</v>
      </c>
      <c r="F67" t="s">
        <v>3584</v>
      </c>
      <c r="G67" t="s">
        <v>2374</v>
      </c>
      <c r="H67" t="s">
        <v>2374</v>
      </c>
      <c r="I67" t="s">
        <v>2374</v>
      </c>
      <c r="J67" t="str">
        <f>IF(COUNTIF(Table5[Country],Table310[Country])&gt;0,"Y","N")</f>
        <v>N</v>
      </c>
      <c r="K67">
        <f>IF(Table310[[#This Row],[Adverse Media]]="Y",15,0)+IF(Table310[[#This Row],[PEP]]="Y",50,0)+IF(Table310[[#This Row],[Sanctions]]="Y",70,0)+IF(Table310[[#This Row],[High Risk Country]]="Y",25,0)</f>
        <v>0</v>
      </c>
      <c r="L67" t="str">
        <f>_xlfn.IFS(Table310[[#This Row],[Risk Score]]&gt;=85,"Critical",Table310[[#This Row],[Risk Score]]&gt;=65,"High",Table310[[#This Row],[Risk Score]]&gt;=45,"Medium",TRUE,"Low")</f>
        <v>Low</v>
      </c>
    </row>
    <row r="68" spans="1:12" x14ac:dyDescent="0.3">
      <c r="A68" t="s">
        <v>2447</v>
      </c>
      <c r="B68" t="s">
        <v>2747</v>
      </c>
      <c r="C68" t="s">
        <v>189</v>
      </c>
      <c r="D68" t="s">
        <v>241</v>
      </c>
      <c r="E68" t="s">
        <v>3487</v>
      </c>
      <c r="F68" t="s">
        <v>3641</v>
      </c>
      <c r="G68" t="s">
        <v>2375</v>
      </c>
      <c r="H68" t="s">
        <v>2375</v>
      </c>
      <c r="I68" t="s">
        <v>2375</v>
      </c>
      <c r="J68" t="str">
        <f>IF(COUNTIF(Table5[Country],Table310[Country])&gt;0,"Y","N")</f>
        <v>N</v>
      </c>
      <c r="K68">
        <f>IF(Table310[[#This Row],[Adverse Media]]="Y",15,0)+IF(Table310[[#This Row],[PEP]]="Y",50,0)+IF(Table310[[#This Row],[Sanctions]]="Y",70,0)+IF(Table310[[#This Row],[High Risk Country]]="Y",25,0)</f>
        <v>135</v>
      </c>
      <c r="L68" t="str">
        <f>_xlfn.IFS(Table310[[#This Row],[Risk Score]]&gt;=85,"Critical",Table310[[#This Row],[Risk Score]]&gt;=65,"High",Table310[[#This Row],[Risk Score]]&gt;=45,"Medium",TRUE,"Low")</f>
        <v>Critical</v>
      </c>
    </row>
    <row r="69" spans="1:12" x14ac:dyDescent="0.3">
      <c r="A69" t="s">
        <v>2448</v>
      </c>
      <c r="B69" t="s">
        <v>2748</v>
      </c>
      <c r="C69" t="s">
        <v>189</v>
      </c>
      <c r="D69" t="s">
        <v>191</v>
      </c>
      <c r="E69" t="s">
        <v>370</v>
      </c>
      <c r="F69" t="s">
        <v>2190</v>
      </c>
      <c r="G69" t="s">
        <v>2374</v>
      </c>
      <c r="H69" t="s">
        <v>2375</v>
      </c>
      <c r="I69" t="s">
        <v>2374</v>
      </c>
      <c r="J69" t="str">
        <f>IF(COUNTIF(Table5[Country],Table310[Country])&gt;0,"Y","N")</f>
        <v>N</v>
      </c>
      <c r="K69">
        <f>IF(Table310[[#This Row],[Adverse Media]]="Y",15,0)+IF(Table310[[#This Row],[PEP]]="Y",50,0)+IF(Table310[[#This Row],[Sanctions]]="Y",70,0)+IF(Table310[[#This Row],[High Risk Country]]="Y",25,0)</f>
        <v>50</v>
      </c>
      <c r="L69" t="str">
        <f>_xlfn.IFS(Table310[[#This Row],[Risk Score]]&gt;=85,"Critical",Table310[[#This Row],[Risk Score]]&gt;=65,"High",Table310[[#This Row],[Risk Score]]&gt;=45,"Medium",TRUE,"Low")</f>
        <v>Medium</v>
      </c>
    </row>
    <row r="70" spans="1:12" x14ac:dyDescent="0.3">
      <c r="A70" t="s">
        <v>2449</v>
      </c>
      <c r="B70" t="s">
        <v>2749</v>
      </c>
      <c r="C70" t="s">
        <v>189</v>
      </c>
      <c r="D70" t="s">
        <v>213</v>
      </c>
      <c r="E70" t="s">
        <v>3488</v>
      </c>
      <c r="F70" t="s">
        <v>3642</v>
      </c>
      <c r="G70" t="s">
        <v>2374</v>
      </c>
      <c r="H70" t="s">
        <v>2374</v>
      </c>
      <c r="I70" t="s">
        <v>2374</v>
      </c>
      <c r="J70" t="str">
        <f>IF(COUNTIF(Table5[Country],Table310[Country])&gt;0,"Y","N")</f>
        <v>Y</v>
      </c>
      <c r="K70">
        <f>IF(Table310[[#This Row],[Adverse Media]]="Y",15,0)+IF(Table310[[#This Row],[PEP]]="Y",50,0)+IF(Table310[[#This Row],[Sanctions]]="Y",70,0)+IF(Table310[[#This Row],[High Risk Country]]="Y",25,0)</f>
        <v>25</v>
      </c>
      <c r="L70" t="str">
        <f>_xlfn.IFS(Table310[[#This Row],[Risk Score]]&gt;=85,"Critical",Table310[[#This Row],[Risk Score]]&gt;=65,"High",Table310[[#This Row],[Risk Score]]&gt;=45,"Medium",TRUE,"Low")</f>
        <v>Low</v>
      </c>
    </row>
    <row r="71" spans="1:12" x14ac:dyDescent="0.3">
      <c r="A71" t="s">
        <v>2450</v>
      </c>
      <c r="B71" t="s">
        <v>2750</v>
      </c>
      <c r="C71" t="s">
        <v>189</v>
      </c>
      <c r="D71" t="s">
        <v>218</v>
      </c>
      <c r="E71" t="s">
        <v>501</v>
      </c>
      <c r="F71" t="s">
        <v>339</v>
      </c>
      <c r="G71" t="s">
        <v>2375</v>
      </c>
      <c r="H71" t="s">
        <v>2374</v>
      </c>
      <c r="I71" t="s">
        <v>2374</v>
      </c>
      <c r="J71" t="str">
        <f>IF(COUNTIF(Table5[Country],Table310[Country])&gt;0,"Y","N")</f>
        <v>N</v>
      </c>
      <c r="K71">
        <f>IF(Table310[[#This Row],[Adverse Media]]="Y",15,0)+IF(Table310[[#This Row],[PEP]]="Y",50,0)+IF(Table310[[#This Row],[Sanctions]]="Y",70,0)+IF(Table310[[#This Row],[High Risk Country]]="Y",25,0)</f>
        <v>15</v>
      </c>
      <c r="L71" t="str">
        <f>_xlfn.IFS(Table310[[#This Row],[Risk Score]]&gt;=85,"Critical",Table310[[#This Row],[Risk Score]]&gt;=65,"High",Table310[[#This Row],[Risk Score]]&gt;=45,"Medium",TRUE,"Low")</f>
        <v>Low</v>
      </c>
    </row>
    <row r="72" spans="1:12" x14ac:dyDescent="0.3">
      <c r="A72" t="s">
        <v>2451</v>
      </c>
      <c r="B72" t="s">
        <v>2751</v>
      </c>
      <c r="C72" t="s">
        <v>189</v>
      </c>
      <c r="D72" t="s">
        <v>193</v>
      </c>
      <c r="E72" t="s">
        <v>514</v>
      </c>
      <c r="F72" t="s">
        <v>3643</v>
      </c>
      <c r="G72" t="s">
        <v>2374</v>
      </c>
      <c r="H72" t="s">
        <v>2375</v>
      </c>
      <c r="I72" t="s">
        <v>2375</v>
      </c>
      <c r="J72" t="str">
        <f>IF(COUNTIF(Table5[Country],Table310[Country])&gt;0,"Y","N")</f>
        <v>Y</v>
      </c>
      <c r="K72">
        <f>IF(Table310[[#This Row],[Adverse Media]]="Y",15,0)+IF(Table310[[#This Row],[PEP]]="Y",50,0)+IF(Table310[[#This Row],[Sanctions]]="Y",70,0)+IF(Table310[[#This Row],[High Risk Country]]="Y",25,0)</f>
        <v>145</v>
      </c>
      <c r="L72" t="str">
        <f>_xlfn.IFS(Table310[[#This Row],[Risk Score]]&gt;=85,"Critical",Table310[[#This Row],[Risk Score]]&gt;=65,"High",Table310[[#This Row],[Risk Score]]&gt;=45,"Medium",TRUE,"Low")</f>
        <v>Critical</v>
      </c>
    </row>
    <row r="73" spans="1:12" x14ac:dyDescent="0.3">
      <c r="A73" t="s">
        <v>2452</v>
      </c>
      <c r="B73" t="s">
        <v>2752</v>
      </c>
      <c r="C73" t="s">
        <v>189</v>
      </c>
      <c r="D73" t="s">
        <v>202</v>
      </c>
      <c r="E73" t="s">
        <v>393</v>
      </c>
      <c r="F73" t="s">
        <v>3644</v>
      </c>
      <c r="G73" t="s">
        <v>2374</v>
      </c>
      <c r="H73" t="s">
        <v>2375</v>
      </c>
      <c r="I73" t="s">
        <v>2374</v>
      </c>
      <c r="J73" t="str">
        <f>IF(COUNTIF(Table5[Country],Table310[Country])&gt;0,"Y","N")</f>
        <v>N</v>
      </c>
      <c r="K73">
        <f>IF(Table310[[#This Row],[Adverse Media]]="Y",15,0)+IF(Table310[[#This Row],[PEP]]="Y",50,0)+IF(Table310[[#This Row],[Sanctions]]="Y",70,0)+IF(Table310[[#This Row],[High Risk Country]]="Y",25,0)</f>
        <v>50</v>
      </c>
      <c r="L73" t="str">
        <f>_xlfn.IFS(Table310[[#This Row],[Risk Score]]&gt;=85,"Critical",Table310[[#This Row],[Risk Score]]&gt;=65,"High",Table310[[#This Row],[Risk Score]]&gt;=45,"Medium",TRUE,"Low")</f>
        <v>Medium</v>
      </c>
    </row>
    <row r="74" spans="1:12" x14ac:dyDescent="0.3">
      <c r="A74" t="s">
        <v>2453</v>
      </c>
      <c r="B74" t="s">
        <v>2753</v>
      </c>
      <c r="C74" t="s">
        <v>189</v>
      </c>
      <c r="D74" t="s">
        <v>219</v>
      </c>
      <c r="E74" t="s">
        <v>430</v>
      </c>
      <c r="F74" t="s">
        <v>3645</v>
      </c>
      <c r="G74" t="s">
        <v>2374</v>
      </c>
      <c r="H74" t="s">
        <v>2375</v>
      </c>
      <c r="I74" t="s">
        <v>2374</v>
      </c>
      <c r="J74" t="str">
        <f>IF(COUNTIF(Table5[Country],Table310[Country])&gt;0,"Y","N")</f>
        <v>Y</v>
      </c>
      <c r="K74">
        <f>IF(Table310[[#This Row],[Adverse Media]]="Y",15,0)+IF(Table310[[#This Row],[PEP]]="Y",50,0)+IF(Table310[[#This Row],[Sanctions]]="Y",70,0)+IF(Table310[[#This Row],[High Risk Country]]="Y",25,0)</f>
        <v>75</v>
      </c>
      <c r="L74" t="str">
        <f>_xlfn.IFS(Table310[[#This Row],[Risk Score]]&gt;=85,"Critical",Table310[[#This Row],[Risk Score]]&gt;=65,"High",Table310[[#This Row],[Risk Score]]&gt;=45,"Medium",TRUE,"Low")</f>
        <v>High</v>
      </c>
    </row>
    <row r="75" spans="1:12" x14ac:dyDescent="0.3">
      <c r="A75" t="s">
        <v>2454</v>
      </c>
      <c r="B75" t="s">
        <v>2754</v>
      </c>
      <c r="C75" t="s">
        <v>189</v>
      </c>
      <c r="D75" t="s">
        <v>207</v>
      </c>
      <c r="E75" t="s">
        <v>637</v>
      </c>
      <c r="F75" t="s">
        <v>3350</v>
      </c>
      <c r="G75" t="s">
        <v>2374</v>
      </c>
      <c r="H75" t="s">
        <v>2375</v>
      </c>
      <c r="I75" t="s">
        <v>2375</v>
      </c>
      <c r="J75" t="str">
        <f>IF(COUNTIF(Table5[Country],Table310[Country])&gt;0,"Y","N")</f>
        <v>Y</v>
      </c>
      <c r="K75">
        <f>IF(Table310[[#This Row],[Adverse Media]]="Y",15,0)+IF(Table310[[#This Row],[PEP]]="Y",50,0)+IF(Table310[[#This Row],[Sanctions]]="Y",70,0)+IF(Table310[[#This Row],[High Risk Country]]="Y",25,0)</f>
        <v>145</v>
      </c>
      <c r="L75" t="str">
        <f>_xlfn.IFS(Table310[[#This Row],[Risk Score]]&gt;=85,"Critical",Table310[[#This Row],[Risk Score]]&gt;=65,"High",Table310[[#This Row],[Risk Score]]&gt;=45,"Medium",TRUE,"Low")</f>
        <v>Critical</v>
      </c>
    </row>
    <row r="76" spans="1:12" x14ac:dyDescent="0.3">
      <c r="A76" t="s">
        <v>2455</v>
      </c>
      <c r="B76" t="s">
        <v>2755</v>
      </c>
      <c r="C76" t="s">
        <v>189</v>
      </c>
      <c r="D76" t="s">
        <v>228</v>
      </c>
      <c r="E76" t="s">
        <v>554</v>
      </c>
      <c r="F76" t="s">
        <v>2348</v>
      </c>
      <c r="G76" t="s">
        <v>2374</v>
      </c>
      <c r="H76" t="s">
        <v>2375</v>
      </c>
      <c r="I76" t="s">
        <v>2375</v>
      </c>
      <c r="J76" t="str">
        <f>IF(COUNTIF(Table5[Country],Table310[Country])&gt;0,"Y","N")</f>
        <v>N</v>
      </c>
      <c r="K76">
        <f>IF(Table310[[#This Row],[Adverse Media]]="Y",15,0)+IF(Table310[[#This Row],[PEP]]="Y",50,0)+IF(Table310[[#This Row],[Sanctions]]="Y",70,0)+IF(Table310[[#This Row],[High Risk Country]]="Y",25,0)</f>
        <v>120</v>
      </c>
      <c r="L76" t="str">
        <f>_xlfn.IFS(Table310[[#This Row],[Risk Score]]&gt;=85,"Critical",Table310[[#This Row],[Risk Score]]&gt;=65,"High",Table310[[#This Row],[Risk Score]]&gt;=45,"Medium",TRUE,"Low")</f>
        <v>Critical</v>
      </c>
    </row>
    <row r="77" spans="1:12" x14ac:dyDescent="0.3">
      <c r="A77" t="s">
        <v>2456</v>
      </c>
      <c r="B77" t="s">
        <v>2756</v>
      </c>
      <c r="C77" t="s">
        <v>189</v>
      </c>
      <c r="D77" t="s">
        <v>201</v>
      </c>
      <c r="E77" t="s">
        <v>1986</v>
      </c>
      <c r="F77" t="s">
        <v>3646</v>
      </c>
      <c r="G77" t="s">
        <v>2374</v>
      </c>
      <c r="H77" t="s">
        <v>2375</v>
      </c>
      <c r="I77" t="s">
        <v>2374</v>
      </c>
      <c r="J77" t="str">
        <f>IF(COUNTIF(Table5[Country],Table310[Country])&gt;0,"Y","N")</f>
        <v>N</v>
      </c>
      <c r="K77">
        <f>IF(Table310[[#This Row],[Adverse Media]]="Y",15,0)+IF(Table310[[#This Row],[PEP]]="Y",50,0)+IF(Table310[[#This Row],[Sanctions]]="Y",70,0)+IF(Table310[[#This Row],[High Risk Country]]="Y",25,0)</f>
        <v>50</v>
      </c>
      <c r="L77" t="str">
        <f>_xlfn.IFS(Table310[[#This Row],[Risk Score]]&gt;=85,"Critical",Table310[[#This Row],[Risk Score]]&gt;=65,"High",Table310[[#This Row],[Risk Score]]&gt;=45,"Medium",TRUE,"Low")</f>
        <v>Medium</v>
      </c>
    </row>
    <row r="78" spans="1:12" x14ac:dyDescent="0.3">
      <c r="A78" t="s">
        <v>2457</v>
      </c>
      <c r="B78" t="s">
        <v>2757</v>
      </c>
      <c r="C78" t="s">
        <v>189</v>
      </c>
      <c r="D78" t="s">
        <v>211</v>
      </c>
      <c r="E78" t="s">
        <v>1795</v>
      </c>
      <c r="F78" t="s">
        <v>3512</v>
      </c>
      <c r="G78" t="s">
        <v>2374</v>
      </c>
      <c r="H78" t="s">
        <v>2375</v>
      </c>
      <c r="I78" t="s">
        <v>2374</v>
      </c>
      <c r="J78" t="str">
        <f>IF(COUNTIF(Table5[Country],Table310[Country])&gt;0,"Y","N")</f>
        <v>N</v>
      </c>
      <c r="K78">
        <f>IF(Table310[[#This Row],[Adverse Media]]="Y",15,0)+IF(Table310[[#This Row],[PEP]]="Y",50,0)+IF(Table310[[#This Row],[Sanctions]]="Y",70,0)+IF(Table310[[#This Row],[High Risk Country]]="Y",25,0)</f>
        <v>50</v>
      </c>
      <c r="L78" t="str">
        <f>_xlfn.IFS(Table310[[#This Row],[Risk Score]]&gt;=85,"Critical",Table310[[#This Row],[Risk Score]]&gt;=65,"High",Table310[[#This Row],[Risk Score]]&gt;=45,"Medium",TRUE,"Low")</f>
        <v>Medium</v>
      </c>
    </row>
    <row r="79" spans="1:12" x14ac:dyDescent="0.3">
      <c r="A79" t="s">
        <v>2458</v>
      </c>
      <c r="B79" t="s">
        <v>2758</v>
      </c>
      <c r="C79" t="s">
        <v>189</v>
      </c>
      <c r="D79" t="s">
        <v>244</v>
      </c>
      <c r="E79" t="s">
        <v>3489</v>
      </c>
      <c r="F79" t="s">
        <v>467</v>
      </c>
      <c r="G79" t="s">
        <v>2374</v>
      </c>
      <c r="H79" t="s">
        <v>2375</v>
      </c>
      <c r="I79" t="s">
        <v>2374</v>
      </c>
      <c r="J79" t="str">
        <f>IF(COUNTIF(Table5[Country],Table310[Country])&gt;0,"Y","N")</f>
        <v>Y</v>
      </c>
      <c r="K79">
        <f>IF(Table310[[#This Row],[Adverse Media]]="Y",15,0)+IF(Table310[[#This Row],[PEP]]="Y",50,0)+IF(Table310[[#This Row],[Sanctions]]="Y",70,0)+IF(Table310[[#This Row],[High Risk Country]]="Y",25,0)</f>
        <v>75</v>
      </c>
      <c r="L79" t="str">
        <f>_xlfn.IFS(Table310[[#This Row],[Risk Score]]&gt;=85,"Critical",Table310[[#This Row],[Risk Score]]&gt;=65,"High",Table310[[#This Row],[Risk Score]]&gt;=45,"Medium",TRUE,"Low")</f>
        <v>High</v>
      </c>
    </row>
    <row r="80" spans="1:12" x14ac:dyDescent="0.3">
      <c r="A80" t="s">
        <v>2459</v>
      </c>
      <c r="B80" t="s">
        <v>2759</v>
      </c>
      <c r="C80" t="s">
        <v>189</v>
      </c>
      <c r="D80" t="s">
        <v>245</v>
      </c>
      <c r="E80" t="s">
        <v>3490</v>
      </c>
      <c r="F80" t="s">
        <v>3647</v>
      </c>
      <c r="G80" t="s">
        <v>2374</v>
      </c>
      <c r="H80" t="s">
        <v>2375</v>
      </c>
      <c r="I80" t="s">
        <v>2374</v>
      </c>
      <c r="J80" t="str">
        <f>IF(COUNTIF(Table5[Country],Table310[Country])&gt;0,"Y","N")</f>
        <v>Y</v>
      </c>
      <c r="K80">
        <f>IF(Table310[[#This Row],[Adverse Media]]="Y",15,0)+IF(Table310[[#This Row],[PEP]]="Y",50,0)+IF(Table310[[#This Row],[Sanctions]]="Y",70,0)+IF(Table310[[#This Row],[High Risk Country]]="Y",25,0)</f>
        <v>75</v>
      </c>
      <c r="L80" t="str">
        <f>_xlfn.IFS(Table310[[#This Row],[Risk Score]]&gt;=85,"Critical",Table310[[#This Row],[Risk Score]]&gt;=65,"High",Table310[[#This Row],[Risk Score]]&gt;=45,"Medium",TRUE,"Low")</f>
        <v>High</v>
      </c>
    </row>
    <row r="81" spans="1:12" x14ac:dyDescent="0.3">
      <c r="A81" t="s">
        <v>2460</v>
      </c>
      <c r="B81" t="s">
        <v>2760</v>
      </c>
      <c r="C81" t="s">
        <v>189</v>
      </c>
      <c r="D81" t="s">
        <v>210</v>
      </c>
      <c r="E81" t="s">
        <v>3491</v>
      </c>
      <c r="F81" t="s">
        <v>295</v>
      </c>
      <c r="G81" t="s">
        <v>2374</v>
      </c>
      <c r="H81" t="s">
        <v>2374</v>
      </c>
      <c r="I81" t="s">
        <v>2374</v>
      </c>
      <c r="J81" t="str">
        <f>IF(COUNTIF(Table5[Country],Table310[Country])&gt;0,"Y","N")</f>
        <v>N</v>
      </c>
      <c r="K81">
        <f>IF(Table310[[#This Row],[Adverse Media]]="Y",15,0)+IF(Table310[[#This Row],[PEP]]="Y",50,0)+IF(Table310[[#This Row],[Sanctions]]="Y",70,0)+IF(Table310[[#This Row],[High Risk Country]]="Y",25,0)</f>
        <v>0</v>
      </c>
      <c r="L81" t="str">
        <f>_xlfn.IFS(Table310[[#This Row],[Risk Score]]&gt;=85,"Critical",Table310[[#This Row],[Risk Score]]&gt;=65,"High",Table310[[#This Row],[Risk Score]]&gt;=45,"Medium",TRUE,"Low")</f>
        <v>Low</v>
      </c>
    </row>
    <row r="82" spans="1:12" x14ac:dyDescent="0.3">
      <c r="A82" t="s">
        <v>2461</v>
      </c>
      <c r="B82" t="s">
        <v>2761</v>
      </c>
      <c r="C82" t="s">
        <v>189</v>
      </c>
      <c r="D82" t="s">
        <v>218</v>
      </c>
      <c r="E82" t="s">
        <v>3492</v>
      </c>
      <c r="F82" t="s">
        <v>3648</v>
      </c>
      <c r="G82" t="s">
        <v>2374</v>
      </c>
      <c r="H82" t="s">
        <v>2374</v>
      </c>
      <c r="I82" t="s">
        <v>2375</v>
      </c>
      <c r="J82" t="str">
        <f>IF(COUNTIF(Table5[Country],Table310[Country])&gt;0,"Y","N")</f>
        <v>N</v>
      </c>
      <c r="K82">
        <f>IF(Table310[[#This Row],[Adverse Media]]="Y",15,0)+IF(Table310[[#This Row],[PEP]]="Y",50,0)+IF(Table310[[#This Row],[Sanctions]]="Y",70,0)+IF(Table310[[#This Row],[High Risk Country]]="Y",25,0)</f>
        <v>70</v>
      </c>
      <c r="L82" t="str">
        <f>_xlfn.IFS(Table310[[#This Row],[Risk Score]]&gt;=85,"Critical",Table310[[#This Row],[Risk Score]]&gt;=65,"High",Table310[[#This Row],[Risk Score]]&gt;=45,"Medium",TRUE,"Low")</f>
        <v>High</v>
      </c>
    </row>
    <row r="83" spans="1:12" x14ac:dyDescent="0.3">
      <c r="A83" t="s">
        <v>2462</v>
      </c>
      <c r="B83" t="s">
        <v>2762</v>
      </c>
      <c r="C83" t="s">
        <v>189</v>
      </c>
      <c r="D83" t="s">
        <v>248</v>
      </c>
      <c r="E83" t="s">
        <v>3493</v>
      </c>
      <c r="F83" t="s">
        <v>3649</v>
      </c>
      <c r="G83" t="s">
        <v>2374</v>
      </c>
      <c r="H83" t="s">
        <v>2374</v>
      </c>
      <c r="I83" t="s">
        <v>2374</v>
      </c>
      <c r="J83" t="str">
        <f>IF(COUNTIF(Table5[Country],Table310[Country])&gt;0,"Y","N")</f>
        <v>N</v>
      </c>
      <c r="K83">
        <f>IF(Table310[[#This Row],[Adverse Media]]="Y",15,0)+IF(Table310[[#This Row],[PEP]]="Y",50,0)+IF(Table310[[#This Row],[Sanctions]]="Y",70,0)+IF(Table310[[#This Row],[High Risk Country]]="Y",25,0)</f>
        <v>0</v>
      </c>
      <c r="L83" t="str">
        <f>_xlfn.IFS(Table310[[#This Row],[Risk Score]]&gt;=85,"Critical",Table310[[#This Row],[Risk Score]]&gt;=65,"High",Table310[[#This Row],[Risk Score]]&gt;=45,"Medium",TRUE,"Low")</f>
        <v>Low</v>
      </c>
    </row>
    <row r="84" spans="1:12" x14ac:dyDescent="0.3">
      <c r="A84" t="s">
        <v>2463</v>
      </c>
      <c r="B84" t="s">
        <v>2763</v>
      </c>
      <c r="C84" t="s">
        <v>189</v>
      </c>
      <c r="D84" t="s">
        <v>212</v>
      </c>
      <c r="E84" t="s">
        <v>411</v>
      </c>
      <c r="F84" t="s">
        <v>3650</v>
      </c>
      <c r="G84" t="s">
        <v>2374</v>
      </c>
      <c r="H84" t="s">
        <v>2374</v>
      </c>
      <c r="I84" t="s">
        <v>2374</v>
      </c>
      <c r="J84" t="str">
        <f>IF(COUNTIF(Table5[Country],Table310[Country])&gt;0,"Y","N")</f>
        <v>N</v>
      </c>
      <c r="K84">
        <f>IF(Table310[[#This Row],[Adverse Media]]="Y",15,0)+IF(Table310[[#This Row],[PEP]]="Y",50,0)+IF(Table310[[#This Row],[Sanctions]]="Y",70,0)+IF(Table310[[#This Row],[High Risk Country]]="Y",25,0)</f>
        <v>0</v>
      </c>
      <c r="L84" t="str">
        <f>_xlfn.IFS(Table310[[#This Row],[Risk Score]]&gt;=85,"Critical",Table310[[#This Row],[Risk Score]]&gt;=65,"High",Table310[[#This Row],[Risk Score]]&gt;=45,"Medium",TRUE,"Low")</f>
        <v>Low</v>
      </c>
    </row>
    <row r="85" spans="1:12" x14ac:dyDescent="0.3">
      <c r="A85" t="s">
        <v>2464</v>
      </c>
      <c r="B85" t="s">
        <v>2764</v>
      </c>
      <c r="C85" t="s">
        <v>189</v>
      </c>
      <c r="D85" t="s">
        <v>210</v>
      </c>
      <c r="E85" t="s">
        <v>3494</v>
      </c>
      <c r="F85" t="s">
        <v>333</v>
      </c>
      <c r="G85" t="s">
        <v>2374</v>
      </c>
      <c r="H85" t="s">
        <v>2374</v>
      </c>
      <c r="I85" t="s">
        <v>2375</v>
      </c>
      <c r="J85" t="str">
        <f>IF(COUNTIF(Table5[Country],Table310[Country])&gt;0,"Y","N")</f>
        <v>N</v>
      </c>
      <c r="K85">
        <f>IF(Table310[[#This Row],[Adverse Media]]="Y",15,0)+IF(Table310[[#This Row],[PEP]]="Y",50,0)+IF(Table310[[#This Row],[Sanctions]]="Y",70,0)+IF(Table310[[#This Row],[High Risk Country]]="Y",25,0)</f>
        <v>70</v>
      </c>
      <c r="L85" t="str">
        <f>_xlfn.IFS(Table310[[#This Row],[Risk Score]]&gt;=85,"Critical",Table310[[#This Row],[Risk Score]]&gt;=65,"High",Table310[[#This Row],[Risk Score]]&gt;=45,"Medium",TRUE,"Low")</f>
        <v>High</v>
      </c>
    </row>
    <row r="86" spans="1:12" x14ac:dyDescent="0.3">
      <c r="A86" t="s">
        <v>2465</v>
      </c>
      <c r="B86" t="s">
        <v>2765</v>
      </c>
      <c r="C86" t="s">
        <v>189</v>
      </c>
      <c r="D86" t="s">
        <v>226</v>
      </c>
      <c r="E86" t="s">
        <v>1931</v>
      </c>
      <c r="F86" t="s">
        <v>365</v>
      </c>
      <c r="G86" t="s">
        <v>2374</v>
      </c>
      <c r="H86" t="s">
        <v>2374</v>
      </c>
      <c r="I86" t="s">
        <v>2375</v>
      </c>
      <c r="J86" t="str">
        <f>IF(COUNTIF(Table5[Country],Table310[Country])&gt;0,"Y","N")</f>
        <v>N</v>
      </c>
      <c r="K86">
        <f>IF(Table310[[#This Row],[Adverse Media]]="Y",15,0)+IF(Table310[[#This Row],[PEP]]="Y",50,0)+IF(Table310[[#This Row],[Sanctions]]="Y",70,0)+IF(Table310[[#This Row],[High Risk Country]]="Y",25,0)</f>
        <v>70</v>
      </c>
      <c r="L86" t="str">
        <f>_xlfn.IFS(Table310[[#This Row],[Risk Score]]&gt;=85,"Critical",Table310[[#This Row],[Risk Score]]&gt;=65,"High",Table310[[#This Row],[Risk Score]]&gt;=45,"Medium",TRUE,"Low")</f>
        <v>High</v>
      </c>
    </row>
    <row r="87" spans="1:12" x14ac:dyDescent="0.3">
      <c r="A87" t="s">
        <v>2466</v>
      </c>
      <c r="B87" t="s">
        <v>2766</v>
      </c>
      <c r="C87" t="s">
        <v>189</v>
      </c>
      <c r="D87" t="s">
        <v>211</v>
      </c>
      <c r="E87" t="s">
        <v>3495</v>
      </c>
      <c r="F87" t="s">
        <v>3651</v>
      </c>
      <c r="G87" t="s">
        <v>2374</v>
      </c>
      <c r="H87" t="s">
        <v>2375</v>
      </c>
      <c r="I87" t="s">
        <v>2374</v>
      </c>
      <c r="J87" t="str">
        <f>IF(COUNTIF(Table5[Country],Table310[Country])&gt;0,"Y","N")</f>
        <v>N</v>
      </c>
      <c r="K87">
        <f>IF(Table310[[#This Row],[Adverse Media]]="Y",15,0)+IF(Table310[[#This Row],[PEP]]="Y",50,0)+IF(Table310[[#This Row],[Sanctions]]="Y",70,0)+IF(Table310[[#This Row],[High Risk Country]]="Y",25,0)</f>
        <v>50</v>
      </c>
      <c r="L87" t="str">
        <f>_xlfn.IFS(Table310[[#This Row],[Risk Score]]&gt;=85,"Critical",Table310[[#This Row],[Risk Score]]&gt;=65,"High",Table310[[#This Row],[Risk Score]]&gt;=45,"Medium",TRUE,"Low")</f>
        <v>Medium</v>
      </c>
    </row>
    <row r="88" spans="1:12" x14ac:dyDescent="0.3">
      <c r="A88" t="s">
        <v>2467</v>
      </c>
      <c r="B88" t="s">
        <v>2767</v>
      </c>
      <c r="C88" t="s">
        <v>189</v>
      </c>
      <c r="D88" t="s">
        <v>239</v>
      </c>
      <c r="E88" t="s">
        <v>3496</v>
      </c>
      <c r="F88" t="s">
        <v>3652</v>
      </c>
      <c r="G88" t="s">
        <v>2374</v>
      </c>
      <c r="H88" t="s">
        <v>2374</v>
      </c>
      <c r="I88" t="s">
        <v>2375</v>
      </c>
      <c r="J88" t="str">
        <f>IF(COUNTIF(Table5[Country],Table310[Country])&gt;0,"Y","N")</f>
        <v>N</v>
      </c>
      <c r="K88">
        <f>IF(Table310[[#This Row],[Adverse Media]]="Y",15,0)+IF(Table310[[#This Row],[PEP]]="Y",50,0)+IF(Table310[[#This Row],[Sanctions]]="Y",70,0)+IF(Table310[[#This Row],[High Risk Country]]="Y",25,0)</f>
        <v>70</v>
      </c>
      <c r="L88" t="str">
        <f>_xlfn.IFS(Table310[[#This Row],[Risk Score]]&gt;=85,"Critical",Table310[[#This Row],[Risk Score]]&gt;=65,"High",Table310[[#This Row],[Risk Score]]&gt;=45,"Medium",TRUE,"Low")</f>
        <v>High</v>
      </c>
    </row>
    <row r="89" spans="1:12" x14ac:dyDescent="0.3">
      <c r="A89" t="s">
        <v>2468</v>
      </c>
      <c r="B89" t="s">
        <v>2768</v>
      </c>
      <c r="C89" t="s">
        <v>189</v>
      </c>
      <c r="D89" t="s">
        <v>242</v>
      </c>
      <c r="E89" t="s">
        <v>3497</v>
      </c>
      <c r="F89" t="s">
        <v>3653</v>
      </c>
      <c r="G89" t="s">
        <v>2374</v>
      </c>
      <c r="H89" t="s">
        <v>2374</v>
      </c>
      <c r="I89" t="s">
        <v>2374</v>
      </c>
      <c r="J89" t="str">
        <f>IF(COUNTIF(Table5[Country],Table310[Country])&gt;0,"Y","N")</f>
        <v>N</v>
      </c>
      <c r="K89">
        <f>IF(Table310[[#This Row],[Adverse Media]]="Y",15,0)+IF(Table310[[#This Row],[PEP]]="Y",50,0)+IF(Table310[[#This Row],[Sanctions]]="Y",70,0)+IF(Table310[[#This Row],[High Risk Country]]="Y",25,0)</f>
        <v>0</v>
      </c>
      <c r="L89" t="str">
        <f>_xlfn.IFS(Table310[[#This Row],[Risk Score]]&gt;=85,"Critical",Table310[[#This Row],[Risk Score]]&gt;=65,"High",Table310[[#This Row],[Risk Score]]&gt;=45,"Medium",TRUE,"Low")</f>
        <v>Low</v>
      </c>
    </row>
    <row r="90" spans="1:12" x14ac:dyDescent="0.3">
      <c r="A90" t="s">
        <v>2469</v>
      </c>
      <c r="B90" t="s">
        <v>2769</v>
      </c>
      <c r="C90" t="s">
        <v>189</v>
      </c>
      <c r="D90" t="s">
        <v>229</v>
      </c>
      <c r="E90" t="s">
        <v>3422</v>
      </c>
      <c r="F90" t="s">
        <v>3654</v>
      </c>
      <c r="G90" t="s">
        <v>2374</v>
      </c>
      <c r="H90" t="s">
        <v>2375</v>
      </c>
      <c r="I90" t="s">
        <v>2375</v>
      </c>
      <c r="J90" t="str">
        <f>IF(COUNTIF(Table5[Country],Table310[Country])&gt;0,"Y","N")</f>
        <v>N</v>
      </c>
      <c r="K90">
        <f>IF(Table310[[#This Row],[Adverse Media]]="Y",15,0)+IF(Table310[[#This Row],[PEP]]="Y",50,0)+IF(Table310[[#This Row],[Sanctions]]="Y",70,0)+IF(Table310[[#This Row],[High Risk Country]]="Y",25,0)</f>
        <v>120</v>
      </c>
      <c r="L90" t="str">
        <f>_xlfn.IFS(Table310[[#This Row],[Risk Score]]&gt;=85,"Critical",Table310[[#This Row],[Risk Score]]&gt;=65,"High",Table310[[#This Row],[Risk Score]]&gt;=45,"Medium",TRUE,"Low")</f>
        <v>Critical</v>
      </c>
    </row>
    <row r="91" spans="1:12" x14ac:dyDescent="0.3">
      <c r="A91" t="s">
        <v>2470</v>
      </c>
      <c r="B91" t="s">
        <v>2770</v>
      </c>
      <c r="C91" t="s">
        <v>189</v>
      </c>
      <c r="D91" t="s">
        <v>240</v>
      </c>
      <c r="E91" t="s">
        <v>3498</v>
      </c>
      <c r="F91" t="s">
        <v>3655</v>
      </c>
      <c r="G91" t="s">
        <v>2374</v>
      </c>
      <c r="H91" t="s">
        <v>2374</v>
      </c>
      <c r="I91" t="s">
        <v>2375</v>
      </c>
      <c r="J91" t="str">
        <f>IF(COUNTIF(Table5[Country],Table310[Country])&gt;0,"Y","N")</f>
        <v>N</v>
      </c>
      <c r="K91">
        <f>IF(Table310[[#This Row],[Adverse Media]]="Y",15,0)+IF(Table310[[#This Row],[PEP]]="Y",50,0)+IF(Table310[[#This Row],[Sanctions]]="Y",70,0)+IF(Table310[[#This Row],[High Risk Country]]="Y",25,0)</f>
        <v>70</v>
      </c>
      <c r="L91" t="str">
        <f>_xlfn.IFS(Table310[[#This Row],[Risk Score]]&gt;=85,"Critical",Table310[[#This Row],[Risk Score]]&gt;=65,"High",Table310[[#This Row],[Risk Score]]&gt;=45,"Medium",TRUE,"Low")</f>
        <v>High</v>
      </c>
    </row>
    <row r="92" spans="1:12" x14ac:dyDescent="0.3">
      <c r="A92" t="s">
        <v>2471</v>
      </c>
      <c r="B92" t="s">
        <v>2771</v>
      </c>
      <c r="C92" t="s">
        <v>189</v>
      </c>
      <c r="D92" t="s">
        <v>209</v>
      </c>
      <c r="E92" t="s">
        <v>349</v>
      </c>
      <c r="F92" t="s">
        <v>3656</v>
      </c>
      <c r="G92" t="s">
        <v>2374</v>
      </c>
      <c r="H92" t="s">
        <v>2375</v>
      </c>
      <c r="I92" t="s">
        <v>2374</v>
      </c>
      <c r="J92" t="str">
        <f>IF(COUNTIF(Table5[Country],Table310[Country])&gt;0,"Y","N")</f>
        <v>N</v>
      </c>
      <c r="K92">
        <f>IF(Table310[[#This Row],[Adverse Media]]="Y",15,0)+IF(Table310[[#This Row],[PEP]]="Y",50,0)+IF(Table310[[#This Row],[Sanctions]]="Y",70,0)+IF(Table310[[#This Row],[High Risk Country]]="Y",25,0)</f>
        <v>50</v>
      </c>
      <c r="L92" t="str">
        <f>_xlfn.IFS(Table310[[#This Row],[Risk Score]]&gt;=85,"Critical",Table310[[#This Row],[Risk Score]]&gt;=65,"High",Table310[[#This Row],[Risk Score]]&gt;=45,"Medium",TRUE,"Low")</f>
        <v>Medium</v>
      </c>
    </row>
    <row r="93" spans="1:12" x14ac:dyDescent="0.3">
      <c r="A93" t="s">
        <v>2472</v>
      </c>
      <c r="B93" t="s">
        <v>2772</v>
      </c>
      <c r="C93" t="s">
        <v>189</v>
      </c>
      <c r="D93" t="s">
        <v>217</v>
      </c>
      <c r="E93" t="s">
        <v>528</v>
      </c>
      <c r="F93" t="s">
        <v>3657</v>
      </c>
      <c r="G93" t="s">
        <v>2374</v>
      </c>
      <c r="H93" t="s">
        <v>2375</v>
      </c>
      <c r="I93" t="s">
        <v>2374</v>
      </c>
      <c r="J93" t="str">
        <f>IF(COUNTIF(Table5[Country],Table310[Country])&gt;0,"Y","N")</f>
        <v>Y</v>
      </c>
      <c r="K93">
        <f>IF(Table310[[#This Row],[Adverse Media]]="Y",15,0)+IF(Table310[[#This Row],[PEP]]="Y",50,0)+IF(Table310[[#This Row],[Sanctions]]="Y",70,0)+IF(Table310[[#This Row],[High Risk Country]]="Y",25,0)</f>
        <v>75</v>
      </c>
      <c r="L93" t="str">
        <f>_xlfn.IFS(Table310[[#This Row],[Risk Score]]&gt;=85,"Critical",Table310[[#This Row],[Risk Score]]&gt;=65,"High",Table310[[#This Row],[Risk Score]]&gt;=45,"Medium",TRUE,"Low")</f>
        <v>High</v>
      </c>
    </row>
    <row r="94" spans="1:12" x14ac:dyDescent="0.3">
      <c r="A94" t="s">
        <v>2473</v>
      </c>
      <c r="B94" t="s">
        <v>2773</v>
      </c>
      <c r="C94" t="s">
        <v>189</v>
      </c>
      <c r="D94" t="s">
        <v>216</v>
      </c>
      <c r="E94" t="s">
        <v>564</v>
      </c>
      <c r="F94" t="s">
        <v>3658</v>
      </c>
      <c r="G94" t="s">
        <v>2374</v>
      </c>
      <c r="H94" t="s">
        <v>2375</v>
      </c>
      <c r="I94" t="s">
        <v>2375</v>
      </c>
      <c r="J94" t="str">
        <f>IF(COUNTIF(Table5[Country],Table310[Country])&gt;0,"Y","N")</f>
        <v>N</v>
      </c>
      <c r="K94">
        <f>IF(Table310[[#This Row],[Adverse Media]]="Y",15,0)+IF(Table310[[#This Row],[PEP]]="Y",50,0)+IF(Table310[[#This Row],[Sanctions]]="Y",70,0)+IF(Table310[[#This Row],[High Risk Country]]="Y",25,0)</f>
        <v>120</v>
      </c>
      <c r="L94" t="str">
        <f>_xlfn.IFS(Table310[[#This Row],[Risk Score]]&gt;=85,"Critical",Table310[[#This Row],[Risk Score]]&gt;=65,"High",Table310[[#This Row],[Risk Score]]&gt;=45,"Medium",TRUE,"Low")</f>
        <v>Critical</v>
      </c>
    </row>
    <row r="95" spans="1:12" x14ac:dyDescent="0.3">
      <c r="A95" t="s">
        <v>2474</v>
      </c>
      <c r="B95" t="s">
        <v>2774</v>
      </c>
      <c r="C95" t="s">
        <v>189</v>
      </c>
      <c r="D95" t="s">
        <v>215</v>
      </c>
      <c r="E95" t="s">
        <v>3499</v>
      </c>
      <c r="F95" t="s">
        <v>3659</v>
      </c>
      <c r="G95" t="s">
        <v>2374</v>
      </c>
      <c r="H95" t="s">
        <v>2375</v>
      </c>
      <c r="I95" t="s">
        <v>2374</v>
      </c>
      <c r="J95" t="str">
        <f>IF(COUNTIF(Table5[Country],Table310[Country])&gt;0,"Y","N")</f>
        <v>Y</v>
      </c>
      <c r="K95">
        <f>IF(Table310[[#This Row],[Adverse Media]]="Y",15,0)+IF(Table310[[#This Row],[PEP]]="Y",50,0)+IF(Table310[[#This Row],[Sanctions]]="Y",70,0)+IF(Table310[[#This Row],[High Risk Country]]="Y",25,0)</f>
        <v>75</v>
      </c>
      <c r="L95" t="str">
        <f>_xlfn.IFS(Table310[[#This Row],[Risk Score]]&gt;=85,"Critical",Table310[[#This Row],[Risk Score]]&gt;=65,"High",Table310[[#This Row],[Risk Score]]&gt;=45,"Medium",TRUE,"Low")</f>
        <v>High</v>
      </c>
    </row>
    <row r="96" spans="1:12" x14ac:dyDescent="0.3">
      <c r="A96" t="s">
        <v>2475</v>
      </c>
      <c r="B96" t="s">
        <v>2775</v>
      </c>
      <c r="C96" t="s">
        <v>189</v>
      </c>
      <c r="D96" t="s">
        <v>245</v>
      </c>
      <c r="E96" t="s">
        <v>3500</v>
      </c>
      <c r="F96" t="s">
        <v>3660</v>
      </c>
      <c r="G96" t="s">
        <v>2374</v>
      </c>
      <c r="H96" t="s">
        <v>2375</v>
      </c>
      <c r="I96" t="s">
        <v>2375</v>
      </c>
      <c r="J96" t="str">
        <f>IF(COUNTIF(Table5[Country],Table310[Country])&gt;0,"Y","N")</f>
        <v>Y</v>
      </c>
      <c r="K96">
        <f>IF(Table310[[#This Row],[Adverse Media]]="Y",15,0)+IF(Table310[[#This Row],[PEP]]="Y",50,0)+IF(Table310[[#This Row],[Sanctions]]="Y",70,0)+IF(Table310[[#This Row],[High Risk Country]]="Y",25,0)</f>
        <v>145</v>
      </c>
      <c r="L96" t="str">
        <f>_xlfn.IFS(Table310[[#This Row],[Risk Score]]&gt;=85,"Critical",Table310[[#This Row],[Risk Score]]&gt;=65,"High",Table310[[#This Row],[Risk Score]]&gt;=45,"Medium",TRUE,"Low")</f>
        <v>Critical</v>
      </c>
    </row>
    <row r="97" spans="1:12" x14ac:dyDescent="0.3">
      <c r="A97" t="s">
        <v>2476</v>
      </c>
      <c r="B97" t="s">
        <v>2776</v>
      </c>
      <c r="C97" t="s">
        <v>189</v>
      </c>
      <c r="D97" t="s">
        <v>201</v>
      </c>
      <c r="E97" t="s">
        <v>3501</v>
      </c>
      <c r="F97" t="s">
        <v>3661</v>
      </c>
      <c r="G97" t="s">
        <v>2374</v>
      </c>
      <c r="H97" t="s">
        <v>2375</v>
      </c>
      <c r="I97" t="s">
        <v>2375</v>
      </c>
      <c r="J97" t="str">
        <f>IF(COUNTIF(Table5[Country],Table310[Country])&gt;0,"Y","N")</f>
        <v>N</v>
      </c>
      <c r="K97">
        <f>IF(Table310[[#This Row],[Adverse Media]]="Y",15,0)+IF(Table310[[#This Row],[PEP]]="Y",50,0)+IF(Table310[[#This Row],[Sanctions]]="Y",70,0)+IF(Table310[[#This Row],[High Risk Country]]="Y",25,0)</f>
        <v>120</v>
      </c>
      <c r="L97" t="str">
        <f>_xlfn.IFS(Table310[[#This Row],[Risk Score]]&gt;=85,"Critical",Table310[[#This Row],[Risk Score]]&gt;=65,"High",Table310[[#This Row],[Risk Score]]&gt;=45,"Medium",TRUE,"Low")</f>
        <v>Critical</v>
      </c>
    </row>
    <row r="98" spans="1:12" x14ac:dyDescent="0.3">
      <c r="A98" t="s">
        <v>2477</v>
      </c>
      <c r="B98" t="s">
        <v>2777</v>
      </c>
      <c r="C98" t="s">
        <v>189</v>
      </c>
      <c r="D98" t="s">
        <v>205</v>
      </c>
      <c r="E98" t="s">
        <v>3502</v>
      </c>
      <c r="F98" t="s">
        <v>2166</v>
      </c>
      <c r="G98" t="s">
        <v>2374</v>
      </c>
      <c r="H98" t="s">
        <v>2375</v>
      </c>
      <c r="I98" t="s">
        <v>2375</v>
      </c>
      <c r="J98" t="str">
        <f>IF(COUNTIF(Table5[Country],Table310[Country])&gt;0,"Y","N")</f>
        <v>N</v>
      </c>
      <c r="K98">
        <f>IF(Table310[[#This Row],[Adverse Media]]="Y",15,0)+IF(Table310[[#This Row],[PEP]]="Y",50,0)+IF(Table310[[#This Row],[Sanctions]]="Y",70,0)+IF(Table310[[#This Row],[High Risk Country]]="Y",25,0)</f>
        <v>120</v>
      </c>
      <c r="L98" t="str">
        <f>_xlfn.IFS(Table310[[#This Row],[Risk Score]]&gt;=85,"Critical",Table310[[#This Row],[Risk Score]]&gt;=65,"High",Table310[[#This Row],[Risk Score]]&gt;=45,"Medium",TRUE,"Low")</f>
        <v>Critical</v>
      </c>
    </row>
    <row r="99" spans="1:12" x14ac:dyDescent="0.3">
      <c r="A99" t="s">
        <v>2478</v>
      </c>
      <c r="B99" t="s">
        <v>2778</v>
      </c>
      <c r="C99" t="s">
        <v>189</v>
      </c>
      <c r="D99" t="s">
        <v>241</v>
      </c>
      <c r="E99" t="s">
        <v>3503</v>
      </c>
      <c r="F99" t="s">
        <v>2233</v>
      </c>
      <c r="G99" t="s">
        <v>2374</v>
      </c>
      <c r="H99" t="s">
        <v>2375</v>
      </c>
      <c r="I99" t="s">
        <v>2374</v>
      </c>
      <c r="J99" t="str">
        <f>IF(COUNTIF(Table5[Country],Table310[Country])&gt;0,"Y","N")</f>
        <v>N</v>
      </c>
      <c r="K99">
        <f>IF(Table310[[#This Row],[Adverse Media]]="Y",15,0)+IF(Table310[[#This Row],[PEP]]="Y",50,0)+IF(Table310[[#This Row],[Sanctions]]="Y",70,0)+IF(Table310[[#This Row],[High Risk Country]]="Y",25,0)</f>
        <v>50</v>
      </c>
      <c r="L99" t="str">
        <f>_xlfn.IFS(Table310[[#This Row],[Risk Score]]&gt;=85,"Critical",Table310[[#This Row],[Risk Score]]&gt;=65,"High",Table310[[#This Row],[Risk Score]]&gt;=45,"Medium",TRUE,"Low")</f>
        <v>Medium</v>
      </c>
    </row>
    <row r="100" spans="1:12" x14ac:dyDescent="0.3">
      <c r="A100" t="s">
        <v>2479</v>
      </c>
      <c r="B100" t="s">
        <v>2779</v>
      </c>
      <c r="C100" t="s">
        <v>189</v>
      </c>
      <c r="D100" t="s">
        <v>219</v>
      </c>
      <c r="E100" t="s">
        <v>3297</v>
      </c>
      <c r="F100" t="s">
        <v>3662</v>
      </c>
      <c r="G100" t="s">
        <v>2374</v>
      </c>
      <c r="H100" t="s">
        <v>2375</v>
      </c>
      <c r="I100" t="s">
        <v>2375</v>
      </c>
      <c r="J100" t="str">
        <f>IF(COUNTIF(Table5[Country],Table310[Country])&gt;0,"Y","N")</f>
        <v>Y</v>
      </c>
      <c r="K100">
        <f>IF(Table310[[#This Row],[Adverse Media]]="Y",15,0)+IF(Table310[[#This Row],[PEP]]="Y",50,0)+IF(Table310[[#This Row],[Sanctions]]="Y",70,0)+IF(Table310[[#This Row],[High Risk Country]]="Y",25,0)</f>
        <v>145</v>
      </c>
      <c r="L100" t="str">
        <f>_xlfn.IFS(Table310[[#This Row],[Risk Score]]&gt;=85,"Critical",Table310[[#This Row],[Risk Score]]&gt;=65,"High",Table310[[#This Row],[Risk Score]]&gt;=45,"Medium",TRUE,"Low")</f>
        <v>Critical</v>
      </c>
    </row>
    <row r="101" spans="1:12" x14ac:dyDescent="0.3">
      <c r="A101" t="s">
        <v>2480</v>
      </c>
      <c r="B101" t="s">
        <v>2780</v>
      </c>
      <c r="C101" t="s">
        <v>189</v>
      </c>
      <c r="D101" t="s">
        <v>204</v>
      </c>
      <c r="E101" t="s">
        <v>3504</v>
      </c>
      <c r="F101" t="s">
        <v>276</v>
      </c>
      <c r="G101" t="s">
        <v>2374</v>
      </c>
      <c r="H101" t="s">
        <v>2375</v>
      </c>
      <c r="I101" t="s">
        <v>2375</v>
      </c>
      <c r="J101" t="str">
        <f>IF(COUNTIF(Table5[Country],Table310[Country])&gt;0,"Y","N")</f>
        <v>Y</v>
      </c>
      <c r="K101">
        <f>IF(Table310[[#This Row],[Adverse Media]]="Y",15,0)+IF(Table310[[#This Row],[PEP]]="Y",50,0)+IF(Table310[[#This Row],[Sanctions]]="Y",70,0)+IF(Table310[[#This Row],[High Risk Country]]="Y",25,0)</f>
        <v>145</v>
      </c>
      <c r="L101" t="str">
        <f>_xlfn.IFS(Table310[[#This Row],[Risk Score]]&gt;=85,"Critical",Table310[[#This Row],[Risk Score]]&gt;=65,"High",Table310[[#This Row],[Risk Score]]&gt;=45,"Medium",TRUE,"Low")</f>
        <v>Critical</v>
      </c>
    </row>
    <row r="102" spans="1:12" x14ac:dyDescent="0.3">
      <c r="A102" t="s">
        <v>2481</v>
      </c>
      <c r="B102" t="s">
        <v>2781</v>
      </c>
      <c r="C102" t="s">
        <v>189</v>
      </c>
      <c r="D102" t="s">
        <v>224</v>
      </c>
      <c r="E102" t="s">
        <v>2105</v>
      </c>
      <c r="F102" t="s">
        <v>3663</v>
      </c>
      <c r="G102" t="s">
        <v>2374</v>
      </c>
      <c r="H102" t="s">
        <v>2375</v>
      </c>
      <c r="I102" t="s">
        <v>2374</v>
      </c>
      <c r="J102" t="str">
        <f>IF(COUNTIF(Table5[Country],Table310[Country])&gt;0,"Y","N")</f>
        <v>Y</v>
      </c>
      <c r="K102">
        <f>IF(Table310[[#This Row],[Adverse Media]]="Y",15,0)+IF(Table310[[#This Row],[PEP]]="Y",50,0)+IF(Table310[[#This Row],[Sanctions]]="Y",70,0)+IF(Table310[[#This Row],[High Risk Country]]="Y",25,0)</f>
        <v>75</v>
      </c>
      <c r="L102" t="str">
        <f>_xlfn.IFS(Table310[[#This Row],[Risk Score]]&gt;=85,"Critical",Table310[[#This Row],[Risk Score]]&gt;=65,"High",Table310[[#This Row],[Risk Score]]&gt;=45,"Medium",TRUE,"Low")</f>
        <v>High</v>
      </c>
    </row>
    <row r="103" spans="1:12" x14ac:dyDescent="0.3">
      <c r="A103" t="s">
        <v>2482</v>
      </c>
      <c r="B103" t="s">
        <v>2782</v>
      </c>
      <c r="C103" t="s">
        <v>189</v>
      </c>
      <c r="D103" t="s">
        <v>229</v>
      </c>
      <c r="E103" t="s">
        <v>3505</v>
      </c>
      <c r="F103" t="s">
        <v>3664</v>
      </c>
      <c r="G103" t="s">
        <v>2374</v>
      </c>
      <c r="H103" t="s">
        <v>2375</v>
      </c>
      <c r="I103" t="s">
        <v>2375</v>
      </c>
      <c r="J103" t="str">
        <f>IF(COUNTIF(Table5[Country],Table310[Country])&gt;0,"Y","N")</f>
        <v>N</v>
      </c>
      <c r="K103">
        <f>IF(Table310[[#This Row],[Adverse Media]]="Y",15,0)+IF(Table310[[#This Row],[PEP]]="Y",50,0)+IF(Table310[[#This Row],[Sanctions]]="Y",70,0)+IF(Table310[[#This Row],[High Risk Country]]="Y",25,0)</f>
        <v>120</v>
      </c>
      <c r="L103" t="str">
        <f>_xlfn.IFS(Table310[[#This Row],[Risk Score]]&gt;=85,"Critical",Table310[[#This Row],[Risk Score]]&gt;=65,"High",Table310[[#This Row],[Risk Score]]&gt;=45,"Medium",TRUE,"Low")</f>
        <v>Critical</v>
      </c>
    </row>
    <row r="104" spans="1:12" x14ac:dyDescent="0.3">
      <c r="A104" t="s">
        <v>2483</v>
      </c>
      <c r="B104" t="s">
        <v>2783</v>
      </c>
      <c r="C104" t="s">
        <v>189</v>
      </c>
      <c r="D104" t="s">
        <v>246</v>
      </c>
      <c r="E104" t="s">
        <v>421</v>
      </c>
      <c r="F104" t="s">
        <v>3407</v>
      </c>
      <c r="G104" t="s">
        <v>2374</v>
      </c>
      <c r="H104" t="s">
        <v>2374</v>
      </c>
      <c r="I104" t="s">
        <v>2374</v>
      </c>
      <c r="J104" t="str">
        <f>IF(COUNTIF(Table5[Country],Table310[Country])&gt;0,"Y","N")</f>
        <v>N</v>
      </c>
      <c r="K104">
        <f>IF(Table310[[#This Row],[Adverse Media]]="Y",15,0)+IF(Table310[[#This Row],[PEP]]="Y",50,0)+IF(Table310[[#This Row],[Sanctions]]="Y",70,0)+IF(Table310[[#This Row],[High Risk Country]]="Y",25,0)</f>
        <v>0</v>
      </c>
      <c r="L104" t="str">
        <f>_xlfn.IFS(Table310[[#This Row],[Risk Score]]&gt;=85,"Critical",Table310[[#This Row],[Risk Score]]&gt;=65,"High",Table310[[#This Row],[Risk Score]]&gt;=45,"Medium",TRUE,"Low")</f>
        <v>Low</v>
      </c>
    </row>
    <row r="105" spans="1:12" x14ac:dyDescent="0.3">
      <c r="A105" t="s">
        <v>2484</v>
      </c>
      <c r="B105" t="s">
        <v>2784</v>
      </c>
      <c r="C105" t="s">
        <v>189</v>
      </c>
      <c r="D105" t="s">
        <v>230</v>
      </c>
      <c r="E105" t="s">
        <v>290</v>
      </c>
      <c r="F105" t="s">
        <v>3665</v>
      </c>
      <c r="G105" t="s">
        <v>2375</v>
      </c>
      <c r="H105" t="s">
        <v>2374</v>
      </c>
      <c r="I105" t="s">
        <v>2375</v>
      </c>
      <c r="J105" t="str">
        <f>IF(COUNTIF(Table5[Country],Table310[Country])&gt;0,"Y","N")</f>
        <v>N</v>
      </c>
      <c r="K105">
        <f>IF(Table310[[#This Row],[Adverse Media]]="Y",15,0)+IF(Table310[[#This Row],[PEP]]="Y",50,0)+IF(Table310[[#This Row],[Sanctions]]="Y",70,0)+IF(Table310[[#This Row],[High Risk Country]]="Y",25,0)</f>
        <v>85</v>
      </c>
      <c r="L105" t="str">
        <f>_xlfn.IFS(Table310[[#This Row],[Risk Score]]&gt;=85,"Critical",Table310[[#This Row],[Risk Score]]&gt;=65,"High",Table310[[#This Row],[Risk Score]]&gt;=45,"Medium",TRUE,"Low")</f>
        <v>Critical</v>
      </c>
    </row>
    <row r="106" spans="1:12" x14ac:dyDescent="0.3">
      <c r="A106" t="s">
        <v>2485</v>
      </c>
      <c r="B106" t="s">
        <v>2785</v>
      </c>
      <c r="C106" t="s">
        <v>189</v>
      </c>
      <c r="D106" t="s">
        <v>213</v>
      </c>
      <c r="E106" t="s">
        <v>323</v>
      </c>
      <c r="F106" t="s">
        <v>3317</v>
      </c>
      <c r="G106" t="s">
        <v>2375</v>
      </c>
      <c r="H106" t="s">
        <v>2374</v>
      </c>
      <c r="I106" t="s">
        <v>2375</v>
      </c>
      <c r="J106" t="str">
        <f>IF(COUNTIF(Table5[Country],Table310[Country])&gt;0,"Y","N")</f>
        <v>Y</v>
      </c>
      <c r="K106">
        <f>IF(Table310[[#This Row],[Adverse Media]]="Y",15,0)+IF(Table310[[#This Row],[PEP]]="Y",50,0)+IF(Table310[[#This Row],[Sanctions]]="Y",70,0)+IF(Table310[[#This Row],[High Risk Country]]="Y",25,0)</f>
        <v>110</v>
      </c>
      <c r="L106" t="str">
        <f>_xlfn.IFS(Table310[[#This Row],[Risk Score]]&gt;=85,"Critical",Table310[[#This Row],[Risk Score]]&gt;=65,"High",Table310[[#This Row],[Risk Score]]&gt;=45,"Medium",TRUE,"Low")</f>
        <v>Critical</v>
      </c>
    </row>
    <row r="107" spans="1:12" x14ac:dyDescent="0.3">
      <c r="A107" t="s">
        <v>2486</v>
      </c>
      <c r="B107" t="s">
        <v>2786</v>
      </c>
      <c r="C107" t="s">
        <v>189</v>
      </c>
      <c r="D107" t="s">
        <v>195</v>
      </c>
      <c r="E107" t="s">
        <v>3506</v>
      </c>
      <c r="F107" t="s">
        <v>2076</v>
      </c>
      <c r="G107" t="s">
        <v>2375</v>
      </c>
      <c r="H107" t="s">
        <v>2374</v>
      </c>
      <c r="I107" t="s">
        <v>2374</v>
      </c>
      <c r="J107" t="str">
        <f>IF(COUNTIF(Table5[Country],Table310[Country])&gt;0,"Y","N")</f>
        <v>N</v>
      </c>
      <c r="K107">
        <f>IF(Table310[[#This Row],[Adverse Media]]="Y",15,0)+IF(Table310[[#This Row],[PEP]]="Y",50,0)+IF(Table310[[#This Row],[Sanctions]]="Y",70,0)+IF(Table310[[#This Row],[High Risk Country]]="Y",25,0)</f>
        <v>15</v>
      </c>
      <c r="L107" t="str">
        <f>_xlfn.IFS(Table310[[#This Row],[Risk Score]]&gt;=85,"Critical",Table310[[#This Row],[Risk Score]]&gt;=65,"High",Table310[[#This Row],[Risk Score]]&gt;=45,"Medium",TRUE,"Low")</f>
        <v>Low</v>
      </c>
    </row>
    <row r="108" spans="1:12" x14ac:dyDescent="0.3">
      <c r="A108" t="s">
        <v>2487</v>
      </c>
      <c r="B108" t="s">
        <v>2787</v>
      </c>
      <c r="C108" t="s">
        <v>189</v>
      </c>
      <c r="D108" t="s">
        <v>203</v>
      </c>
      <c r="E108" t="s">
        <v>406</v>
      </c>
      <c r="F108" t="s">
        <v>3666</v>
      </c>
      <c r="G108" t="s">
        <v>2375</v>
      </c>
      <c r="H108" t="s">
        <v>2374</v>
      </c>
      <c r="I108" t="s">
        <v>2374</v>
      </c>
      <c r="J108" t="str">
        <f>IF(COUNTIF(Table5[Country],Table310[Country])&gt;0,"Y","N")</f>
        <v>Y</v>
      </c>
      <c r="K108">
        <f>IF(Table310[[#This Row],[Adverse Media]]="Y",15,0)+IF(Table310[[#This Row],[PEP]]="Y",50,0)+IF(Table310[[#This Row],[Sanctions]]="Y",70,0)+IF(Table310[[#This Row],[High Risk Country]]="Y",25,0)</f>
        <v>40</v>
      </c>
      <c r="L108" t="str">
        <f>_xlfn.IFS(Table310[[#This Row],[Risk Score]]&gt;=85,"Critical",Table310[[#This Row],[Risk Score]]&gt;=65,"High",Table310[[#This Row],[Risk Score]]&gt;=45,"Medium",TRUE,"Low")</f>
        <v>Low</v>
      </c>
    </row>
    <row r="109" spans="1:12" x14ac:dyDescent="0.3">
      <c r="A109" t="s">
        <v>2488</v>
      </c>
      <c r="B109" t="s">
        <v>2788</v>
      </c>
      <c r="C109" t="s">
        <v>189</v>
      </c>
      <c r="D109" t="s">
        <v>215</v>
      </c>
      <c r="E109" t="s">
        <v>2110</v>
      </c>
      <c r="F109" t="s">
        <v>3667</v>
      </c>
      <c r="G109" t="s">
        <v>2375</v>
      </c>
      <c r="H109" t="s">
        <v>2374</v>
      </c>
      <c r="I109" t="s">
        <v>2375</v>
      </c>
      <c r="J109" t="str">
        <f>IF(COUNTIF(Table5[Country],Table310[Country])&gt;0,"Y","N")</f>
        <v>Y</v>
      </c>
      <c r="K109">
        <f>IF(Table310[[#This Row],[Adverse Media]]="Y",15,0)+IF(Table310[[#This Row],[PEP]]="Y",50,0)+IF(Table310[[#This Row],[Sanctions]]="Y",70,0)+IF(Table310[[#This Row],[High Risk Country]]="Y",25,0)</f>
        <v>110</v>
      </c>
      <c r="L109" t="str">
        <f>_xlfn.IFS(Table310[[#This Row],[Risk Score]]&gt;=85,"Critical",Table310[[#This Row],[Risk Score]]&gt;=65,"High",Table310[[#This Row],[Risk Score]]&gt;=45,"Medium",TRUE,"Low")</f>
        <v>Critical</v>
      </c>
    </row>
    <row r="110" spans="1:12" x14ac:dyDescent="0.3">
      <c r="A110" t="s">
        <v>2489</v>
      </c>
      <c r="B110" t="s">
        <v>2789</v>
      </c>
      <c r="C110" t="s">
        <v>189</v>
      </c>
      <c r="D110" t="s">
        <v>221</v>
      </c>
      <c r="E110" t="s">
        <v>3507</v>
      </c>
      <c r="F110" t="s">
        <v>3484</v>
      </c>
      <c r="G110" t="s">
        <v>2374</v>
      </c>
      <c r="H110" t="s">
        <v>2374</v>
      </c>
      <c r="I110" t="s">
        <v>2375</v>
      </c>
      <c r="J110" t="str">
        <f>IF(COUNTIF(Table5[Country],Table310[Country])&gt;0,"Y","N")</f>
        <v>N</v>
      </c>
      <c r="K110">
        <f>IF(Table310[[#This Row],[Adverse Media]]="Y",15,0)+IF(Table310[[#This Row],[PEP]]="Y",50,0)+IF(Table310[[#This Row],[Sanctions]]="Y",70,0)+IF(Table310[[#This Row],[High Risk Country]]="Y",25,0)</f>
        <v>70</v>
      </c>
      <c r="L110" t="str">
        <f>_xlfn.IFS(Table310[[#This Row],[Risk Score]]&gt;=85,"Critical",Table310[[#This Row],[Risk Score]]&gt;=65,"High",Table310[[#This Row],[Risk Score]]&gt;=45,"Medium",TRUE,"Low")</f>
        <v>High</v>
      </c>
    </row>
    <row r="111" spans="1:12" x14ac:dyDescent="0.3">
      <c r="A111" t="s">
        <v>2490</v>
      </c>
      <c r="B111" t="s">
        <v>2790</v>
      </c>
      <c r="C111" t="s">
        <v>189</v>
      </c>
      <c r="D111" t="s">
        <v>242</v>
      </c>
      <c r="E111" t="s">
        <v>3508</v>
      </c>
      <c r="F111" t="s">
        <v>3668</v>
      </c>
      <c r="G111" t="s">
        <v>2375</v>
      </c>
      <c r="H111" t="s">
        <v>2374</v>
      </c>
      <c r="I111" t="s">
        <v>2375</v>
      </c>
      <c r="J111" t="str">
        <f>IF(COUNTIF(Table5[Country],Table310[Country])&gt;0,"Y","N")</f>
        <v>N</v>
      </c>
      <c r="K111">
        <f>IF(Table310[[#This Row],[Adverse Media]]="Y",15,0)+IF(Table310[[#This Row],[PEP]]="Y",50,0)+IF(Table310[[#This Row],[Sanctions]]="Y",70,0)+IF(Table310[[#This Row],[High Risk Country]]="Y",25,0)</f>
        <v>85</v>
      </c>
      <c r="L111" t="str">
        <f>_xlfn.IFS(Table310[[#This Row],[Risk Score]]&gt;=85,"Critical",Table310[[#This Row],[Risk Score]]&gt;=65,"High",Table310[[#This Row],[Risk Score]]&gt;=45,"Medium",TRUE,"Low")</f>
        <v>Critical</v>
      </c>
    </row>
    <row r="112" spans="1:12" x14ac:dyDescent="0.3">
      <c r="A112" t="s">
        <v>2491</v>
      </c>
      <c r="B112" t="s">
        <v>2791</v>
      </c>
      <c r="C112" t="s">
        <v>189</v>
      </c>
      <c r="D112" t="s">
        <v>246</v>
      </c>
      <c r="E112" t="s">
        <v>3509</v>
      </c>
      <c r="F112" t="s">
        <v>653</v>
      </c>
      <c r="G112" t="s">
        <v>2375</v>
      </c>
      <c r="H112" t="s">
        <v>2374</v>
      </c>
      <c r="I112" t="s">
        <v>2374</v>
      </c>
      <c r="J112" t="str">
        <f>IF(COUNTIF(Table5[Country],Table310[Country])&gt;0,"Y","N")</f>
        <v>N</v>
      </c>
      <c r="K112">
        <f>IF(Table310[[#This Row],[Adverse Media]]="Y",15,0)+IF(Table310[[#This Row],[PEP]]="Y",50,0)+IF(Table310[[#This Row],[Sanctions]]="Y",70,0)+IF(Table310[[#This Row],[High Risk Country]]="Y",25,0)</f>
        <v>15</v>
      </c>
      <c r="L112" t="str">
        <f>_xlfn.IFS(Table310[[#This Row],[Risk Score]]&gt;=85,"Critical",Table310[[#This Row],[Risk Score]]&gt;=65,"High",Table310[[#This Row],[Risk Score]]&gt;=45,"Medium",TRUE,"Low")</f>
        <v>Low</v>
      </c>
    </row>
    <row r="113" spans="1:12" x14ac:dyDescent="0.3">
      <c r="A113" t="s">
        <v>2492</v>
      </c>
      <c r="B113" t="s">
        <v>2792</v>
      </c>
      <c r="C113" t="s">
        <v>189</v>
      </c>
      <c r="D113" t="s">
        <v>222</v>
      </c>
      <c r="E113" t="s">
        <v>3510</v>
      </c>
      <c r="F113" t="s">
        <v>3669</v>
      </c>
      <c r="G113" t="s">
        <v>2374</v>
      </c>
      <c r="H113" t="s">
        <v>2374</v>
      </c>
      <c r="I113" t="s">
        <v>2374</v>
      </c>
      <c r="J113" t="str">
        <f>IF(COUNTIF(Table5[Country],Table310[Country])&gt;0,"Y","N")</f>
        <v>N</v>
      </c>
      <c r="K113">
        <f>IF(Table310[[#This Row],[Adverse Media]]="Y",15,0)+IF(Table310[[#This Row],[PEP]]="Y",50,0)+IF(Table310[[#This Row],[Sanctions]]="Y",70,0)+IF(Table310[[#This Row],[High Risk Country]]="Y",25,0)</f>
        <v>0</v>
      </c>
      <c r="L113" t="str">
        <f>_xlfn.IFS(Table310[[#This Row],[Risk Score]]&gt;=85,"Critical",Table310[[#This Row],[Risk Score]]&gt;=65,"High",Table310[[#This Row],[Risk Score]]&gt;=45,"Medium",TRUE,"Low")</f>
        <v>Low</v>
      </c>
    </row>
    <row r="114" spans="1:12" x14ac:dyDescent="0.3">
      <c r="A114" t="s">
        <v>2493</v>
      </c>
      <c r="B114" t="s">
        <v>2793</v>
      </c>
      <c r="C114" t="s">
        <v>189</v>
      </c>
      <c r="D114" t="s">
        <v>231</v>
      </c>
      <c r="E114" t="s">
        <v>3511</v>
      </c>
      <c r="F114" t="s">
        <v>1964</v>
      </c>
      <c r="G114" t="s">
        <v>2374</v>
      </c>
      <c r="H114" t="s">
        <v>2374</v>
      </c>
      <c r="I114" t="s">
        <v>2375</v>
      </c>
      <c r="J114" t="str">
        <f>IF(COUNTIF(Table5[Country],Table310[Country])&gt;0,"Y","N")</f>
        <v>N</v>
      </c>
      <c r="K114">
        <f>IF(Table310[[#This Row],[Adverse Media]]="Y",15,0)+IF(Table310[[#This Row],[PEP]]="Y",50,0)+IF(Table310[[#This Row],[Sanctions]]="Y",70,0)+IF(Table310[[#This Row],[High Risk Country]]="Y",25,0)</f>
        <v>70</v>
      </c>
      <c r="L114" t="str">
        <f>_xlfn.IFS(Table310[[#This Row],[Risk Score]]&gt;=85,"Critical",Table310[[#This Row],[Risk Score]]&gt;=65,"High",Table310[[#This Row],[Risk Score]]&gt;=45,"Medium",TRUE,"Low")</f>
        <v>High</v>
      </c>
    </row>
    <row r="115" spans="1:12" x14ac:dyDescent="0.3">
      <c r="A115" t="s">
        <v>2494</v>
      </c>
      <c r="B115" t="s">
        <v>2794</v>
      </c>
      <c r="C115" t="s">
        <v>189</v>
      </c>
      <c r="D115" t="s">
        <v>227</v>
      </c>
      <c r="E115" t="s">
        <v>3512</v>
      </c>
      <c r="F115" t="s">
        <v>2284</v>
      </c>
      <c r="G115" t="s">
        <v>2374</v>
      </c>
      <c r="H115" t="s">
        <v>2374</v>
      </c>
      <c r="I115" t="s">
        <v>2374</v>
      </c>
      <c r="J115" t="str">
        <f>IF(COUNTIF(Table5[Country],Table310[Country])&gt;0,"Y","N")</f>
        <v>N</v>
      </c>
      <c r="K115">
        <f>IF(Table310[[#This Row],[Adverse Media]]="Y",15,0)+IF(Table310[[#This Row],[PEP]]="Y",50,0)+IF(Table310[[#This Row],[Sanctions]]="Y",70,0)+IF(Table310[[#This Row],[High Risk Country]]="Y",25,0)</f>
        <v>0</v>
      </c>
      <c r="L115" t="str">
        <f>_xlfn.IFS(Table310[[#This Row],[Risk Score]]&gt;=85,"Critical",Table310[[#This Row],[Risk Score]]&gt;=65,"High",Table310[[#This Row],[Risk Score]]&gt;=45,"Medium",TRUE,"Low")</f>
        <v>Low</v>
      </c>
    </row>
    <row r="116" spans="1:12" x14ac:dyDescent="0.3">
      <c r="A116" t="s">
        <v>2495</v>
      </c>
      <c r="B116" t="s">
        <v>2795</v>
      </c>
      <c r="C116" t="s">
        <v>189</v>
      </c>
      <c r="D116" t="s">
        <v>208</v>
      </c>
      <c r="E116" t="s">
        <v>3513</v>
      </c>
      <c r="F116" t="s">
        <v>3670</v>
      </c>
      <c r="G116" t="s">
        <v>2374</v>
      </c>
      <c r="H116" t="s">
        <v>2374</v>
      </c>
      <c r="I116" t="s">
        <v>2375</v>
      </c>
      <c r="J116" t="str">
        <f>IF(COUNTIF(Table5[Country],Table310[Country])&gt;0,"Y","N")</f>
        <v>Y</v>
      </c>
      <c r="K116">
        <f>IF(Table310[[#This Row],[Adverse Media]]="Y",15,0)+IF(Table310[[#This Row],[PEP]]="Y",50,0)+IF(Table310[[#This Row],[Sanctions]]="Y",70,0)+IF(Table310[[#This Row],[High Risk Country]]="Y",25,0)</f>
        <v>95</v>
      </c>
      <c r="L116" t="str">
        <f>_xlfn.IFS(Table310[[#This Row],[Risk Score]]&gt;=85,"Critical",Table310[[#This Row],[Risk Score]]&gt;=65,"High",Table310[[#This Row],[Risk Score]]&gt;=45,"Medium",TRUE,"Low")</f>
        <v>Critical</v>
      </c>
    </row>
    <row r="117" spans="1:12" x14ac:dyDescent="0.3">
      <c r="A117" t="s">
        <v>2496</v>
      </c>
      <c r="B117" t="s">
        <v>2796</v>
      </c>
      <c r="C117" t="s">
        <v>189</v>
      </c>
      <c r="D117" t="s">
        <v>249</v>
      </c>
      <c r="E117" t="s">
        <v>3514</v>
      </c>
      <c r="F117" t="s">
        <v>3509</v>
      </c>
      <c r="G117" t="s">
        <v>2374</v>
      </c>
      <c r="H117" t="s">
        <v>2374</v>
      </c>
      <c r="I117" t="s">
        <v>2374</v>
      </c>
      <c r="J117" t="str">
        <f>IF(COUNTIF(Table5[Country],Table310[Country])&gt;0,"Y","N")</f>
        <v>N</v>
      </c>
      <c r="K117">
        <f>IF(Table310[[#This Row],[Adverse Media]]="Y",15,0)+IF(Table310[[#This Row],[PEP]]="Y",50,0)+IF(Table310[[#This Row],[Sanctions]]="Y",70,0)+IF(Table310[[#This Row],[High Risk Country]]="Y",25,0)</f>
        <v>0</v>
      </c>
      <c r="L117" t="str">
        <f>_xlfn.IFS(Table310[[#This Row],[Risk Score]]&gt;=85,"Critical",Table310[[#This Row],[Risk Score]]&gt;=65,"High",Table310[[#This Row],[Risk Score]]&gt;=45,"Medium",TRUE,"Low")</f>
        <v>Low</v>
      </c>
    </row>
    <row r="118" spans="1:12" x14ac:dyDescent="0.3">
      <c r="A118" t="s">
        <v>2497</v>
      </c>
      <c r="B118" t="s">
        <v>2797</v>
      </c>
      <c r="C118" t="s">
        <v>189</v>
      </c>
      <c r="D118" t="s">
        <v>211</v>
      </c>
      <c r="E118" t="s">
        <v>498</v>
      </c>
      <c r="F118" t="s">
        <v>2072</v>
      </c>
      <c r="G118" t="s">
        <v>2374</v>
      </c>
      <c r="H118" t="s">
        <v>2374</v>
      </c>
      <c r="I118" t="s">
        <v>2374</v>
      </c>
      <c r="J118" t="str">
        <f>IF(COUNTIF(Table5[Country],Table310[Country])&gt;0,"Y","N")</f>
        <v>N</v>
      </c>
      <c r="K118">
        <f>IF(Table310[[#This Row],[Adverse Media]]="Y",15,0)+IF(Table310[[#This Row],[PEP]]="Y",50,0)+IF(Table310[[#This Row],[Sanctions]]="Y",70,0)+IF(Table310[[#This Row],[High Risk Country]]="Y",25,0)</f>
        <v>0</v>
      </c>
      <c r="L118" t="str">
        <f>_xlfn.IFS(Table310[[#This Row],[Risk Score]]&gt;=85,"Critical",Table310[[#This Row],[Risk Score]]&gt;=65,"High",Table310[[#This Row],[Risk Score]]&gt;=45,"Medium",TRUE,"Low")</f>
        <v>Low</v>
      </c>
    </row>
    <row r="119" spans="1:12" x14ac:dyDescent="0.3">
      <c r="A119" t="s">
        <v>2498</v>
      </c>
      <c r="B119" t="s">
        <v>2798</v>
      </c>
      <c r="C119" t="s">
        <v>189</v>
      </c>
      <c r="D119" t="s">
        <v>244</v>
      </c>
      <c r="E119" t="s">
        <v>3515</v>
      </c>
      <c r="F119" t="s">
        <v>468</v>
      </c>
      <c r="G119" t="s">
        <v>2374</v>
      </c>
      <c r="H119" t="s">
        <v>2374</v>
      </c>
      <c r="I119" t="s">
        <v>2375</v>
      </c>
      <c r="J119" t="str">
        <f>IF(COUNTIF(Table5[Country],Table310[Country])&gt;0,"Y","N")</f>
        <v>Y</v>
      </c>
      <c r="K119">
        <f>IF(Table310[[#This Row],[Adverse Media]]="Y",15,0)+IF(Table310[[#This Row],[PEP]]="Y",50,0)+IF(Table310[[#This Row],[Sanctions]]="Y",70,0)+IF(Table310[[#This Row],[High Risk Country]]="Y",25,0)</f>
        <v>95</v>
      </c>
      <c r="L119" t="str">
        <f>_xlfn.IFS(Table310[[#This Row],[Risk Score]]&gt;=85,"Critical",Table310[[#This Row],[Risk Score]]&gt;=65,"High",Table310[[#This Row],[Risk Score]]&gt;=45,"Medium",TRUE,"Low")</f>
        <v>Critical</v>
      </c>
    </row>
    <row r="120" spans="1:12" x14ac:dyDescent="0.3">
      <c r="A120" t="s">
        <v>2499</v>
      </c>
      <c r="B120" t="s">
        <v>2799</v>
      </c>
      <c r="C120" t="s">
        <v>189</v>
      </c>
      <c r="D120" t="s">
        <v>224</v>
      </c>
      <c r="E120" t="s">
        <v>588</v>
      </c>
      <c r="F120" t="s">
        <v>3671</v>
      </c>
      <c r="G120" t="s">
        <v>2374</v>
      </c>
      <c r="H120" t="s">
        <v>2374</v>
      </c>
      <c r="I120" t="s">
        <v>2374</v>
      </c>
      <c r="J120" t="str">
        <f>IF(COUNTIF(Table5[Country],Table310[Country])&gt;0,"Y","N")</f>
        <v>Y</v>
      </c>
      <c r="K120">
        <f>IF(Table310[[#This Row],[Adverse Media]]="Y",15,0)+IF(Table310[[#This Row],[PEP]]="Y",50,0)+IF(Table310[[#This Row],[Sanctions]]="Y",70,0)+IF(Table310[[#This Row],[High Risk Country]]="Y",25,0)</f>
        <v>25</v>
      </c>
      <c r="L120" t="str">
        <f>_xlfn.IFS(Table310[[#This Row],[Risk Score]]&gt;=85,"Critical",Table310[[#This Row],[Risk Score]]&gt;=65,"High",Table310[[#This Row],[Risk Score]]&gt;=45,"Medium",TRUE,"Low")</f>
        <v>Low</v>
      </c>
    </row>
    <row r="121" spans="1:12" x14ac:dyDescent="0.3">
      <c r="A121" t="s">
        <v>2500</v>
      </c>
      <c r="B121" t="s">
        <v>2800</v>
      </c>
      <c r="C121" t="s">
        <v>189</v>
      </c>
      <c r="D121" t="s">
        <v>242</v>
      </c>
      <c r="E121" t="s">
        <v>622</v>
      </c>
      <c r="F121" t="s">
        <v>354</v>
      </c>
      <c r="G121" t="s">
        <v>2374</v>
      </c>
      <c r="H121" t="s">
        <v>2374</v>
      </c>
      <c r="I121" t="s">
        <v>2375</v>
      </c>
      <c r="J121" t="str">
        <f>IF(COUNTIF(Table5[Country],Table310[Country])&gt;0,"Y","N")</f>
        <v>N</v>
      </c>
      <c r="K121">
        <f>IF(Table310[[#This Row],[Adverse Media]]="Y",15,0)+IF(Table310[[#This Row],[PEP]]="Y",50,0)+IF(Table310[[#This Row],[Sanctions]]="Y",70,0)+IF(Table310[[#This Row],[High Risk Country]]="Y",25,0)</f>
        <v>70</v>
      </c>
      <c r="L121" t="str">
        <f>_xlfn.IFS(Table310[[#This Row],[Risk Score]]&gt;=85,"Critical",Table310[[#This Row],[Risk Score]]&gt;=65,"High",Table310[[#This Row],[Risk Score]]&gt;=45,"Medium",TRUE,"Low")</f>
        <v>High</v>
      </c>
    </row>
    <row r="122" spans="1:12" x14ac:dyDescent="0.3">
      <c r="A122" t="s">
        <v>2501</v>
      </c>
      <c r="B122" t="s">
        <v>2801</v>
      </c>
      <c r="C122" t="s">
        <v>189</v>
      </c>
      <c r="D122" t="s">
        <v>203</v>
      </c>
      <c r="E122" t="s">
        <v>3516</v>
      </c>
      <c r="F122" t="s">
        <v>3672</v>
      </c>
      <c r="G122" t="s">
        <v>2374</v>
      </c>
      <c r="H122" t="s">
        <v>2374</v>
      </c>
      <c r="I122" t="s">
        <v>2374</v>
      </c>
      <c r="J122" t="str">
        <f>IF(COUNTIF(Table5[Country],Table310[Country])&gt;0,"Y","N")</f>
        <v>Y</v>
      </c>
      <c r="K122">
        <f>IF(Table310[[#This Row],[Adverse Media]]="Y",15,0)+IF(Table310[[#This Row],[PEP]]="Y",50,0)+IF(Table310[[#This Row],[Sanctions]]="Y",70,0)+IF(Table310[[#This Row],[High Risk Country]]="Y",25,0)</f>
        <v>25</v>
      </c>
      <c r="L122" t="str">
        <f>_xlfn.IFS(Table310[[#This Row],[Risk Score]]&gt;=85,"Critical",Table310[[#This Row],[Risk Score]]&gt;=65,"High",Table310[[#This Row],[Risk Score]]&gt;=45,"Medium",TRUE,"Low")</f>
        <v>Low</v>
      </c>
    </row>
    <row r="123" spans="1:12" x14ac:dyDescent="0.3">
      <c r="A123" t="s">
        <v>2502</v>
      </c>
      <c r="B123" t="s">
        <v>2802</v>
      </c>
      <c r="C123" t="s">
        <v>189</v>
      </c>
      <c r="D123" t="s">
        <v>244</v>
      </c>
      <c r="E123" t="s">
        <v>3517</v>
      </c>
      <c r="F123" t="s">
        <v>3673</v>
      </c>
      <c r="G123" t="s">
        <v>2374</v>
      </c>
      <c r="H123" t="s">
        <v>2374</v>
      </c>
      <c r="I123" t="s">
        <v>2375</v>
      </c>
      <c r="J123" t="str">
        <f>IF(COUNTIF(Table5[Country],Table310[Country])&gt;0,"Y","N")</f>
        <v>Y</v>
      </c>
      <c r="K123">
        <f>IF(Table310[[#This Row],[Adverse Media]]="Y",15,0)+IF(Table310[[#This Row],[PEP]]="Y",50,0)+IF(Table310[[#This Row],[Sanctions]]="Y",70,0)+IF(Table310[[#This Row],[High Risk Country]]="Y",25,0)</f>
        <v>95</v>
      </c>
      <c r="L123" t="str">
        <f>_xlfn.IFS(Table310[[#This Row],[Risk Score]]&gt;=85,"Critical",Table310[[#This Row],[Risk Score]]&gt;=65,"High",Table310[[#This Row],[Risk Score]]&gt;=45,"Medium",TRUE,"Low")</f>
        <v>Critical</v>
      </c>
    </row>
    <row r="124" spans="1:12" x14ac:dyDescent="0.3">
      <c r="A124" t="s">
        <v>2503</v>
      </c>
      <c r="B124" t="s">
        <v>2803</v>
      </c>
      <c r="C124" t="s">
        <v>189</v>
      </c>
      <c r="D124" t="s">
        <v>194</v>
      </c>
      <c r="E124" t="s">
        <v>375</v>
      </c>
      <c r="F124" t="s">
        <v>3674</v>
      </c>
      <c r="G124" t="s">
        <v>2374</v>
      </c>
      <c r="H124" t="s">
        <v>2374</v>
      </c>
      <c r="I124" t="s">
        <v>2374</v>
      </c>
      <c r="J124" t="str">
        <f>IF(COUNTIF(Table5[Country],Table310[Country])&gt;0,"Y","N")</f>
        <v>Y</v>
      </c>
      <c r="K124">
        <f>IF(Table310[[#This Row],[Adverse Media]]="Y",15,0)+IF(Table310[[#This Row],[PEP]]="Y",50,0)+IF(Table310[[#This Row],[Sanctions]]="Y",70,0)+IF(Table310[[#This Row],[High Risk Country]]="Y",25,0)</f>
        <v>25</v>
      </c>
      <c r="L124" t="str">
        <f>_xlfn.IFS(Table310[[#This Row],[Risk Score]]&gt;=85,"Critical",Table310[[#This Row],[Risk Score]]&gt;=65,"High",Table310[[#This Row],[Risk Score]]&gt;=45,"Medium",TRUE,"Low")</f>
        <v>Low</v>
      </c>
    </row>
    <row r="125" spans="1:12" x14ac:dyDescent="0.3">
      <c r="A125" t="s">
        <v>2504</v>
      </c>
      <c r="B125" t="s">
        <v>2804</v>
      </c>
      <c r="C125" t="s">
        <v>189</v>
      </c>
      <c r="D125" t="s">
        <v>192</v>
      </c>
      <c r="E125" t="s">
        <v>384</v>
      </c>
      <c r="F125" t="s">
        <v>3326</v>
      </c>
      <c r="G125" t="s">
        <v>2374</v>
      </c>
      <c r="H125" t="s">
        <v>2374</v>
      </c>
      <c r="I125" t="s">
        <v>2374</v>
      </c>
      <c r="J125" t="str">
        <f>IF(COUNTIF(Table5[Country],Table310[Country])&gt;0,"Y","N")</f>
        <v>N</v>
      </c>
      <c r="K125">
        <f>IF(Table310[[#This Row],[Adverse Media]]="Y",15,0)+IF(Table310[[#This Row],[PEP]]="Y",50,0)+IF(Table310[[#This Row],[Sanctions]]="Y",70,0)+IF(Table310[[#This Row],[High Risk Country]]="Y",25,0)</f>
        <v>0</v>
      </c>
      <c r="L125" t="str">
        <f>_xlfn.IFS(Table310[[#This Row],[Risk Score]]&gt;=85,"Critical",Table310[[#This Row],[Risk Score]]&gt;=65,"High",Table310[[#This Row],[Risk Score]]&gt;=45,"Medium",TRUE,"Low")</f>
        <v>Low</v>
      </c>
    </row>
    <row r="126" spans="1:12" x14ac:dyDescent="0.3">
      <c r="A126" t="s">
        <v>2505</v>
      </c>
      <c r="B126" t="s">
        <v>2805</v>
      </c>
      <c r="C126" t="s">
        <v>189</v>
      </c>
      <c r="D126" t="s">
        <v>219</v>
      </c>
      <c r="E126" t="s">
        <v>1865</v>
      </c>
      <c r="F126" t="s">
        <v>623</v>
      </c>
      <c r="G126" t="s">
        <v>2374</v>
      </c>
      <c r="H126" t="s">
        <v>2374</v>
      </c>
      <c r="I126" t="s">
        <v>2374</v>
      </c>
      <c r="J126" t="str">
        <f>IF(COUNTIF(Table5[Country],Table310[Country])&gt;0,"Y","N")</f>
        <v>Y</v>
      </c>
      <c r="K126">
        <f>IF(Table310[[#This Row],[Adverse Media]]="Y",15,0)+IF(Table310[[#This Row],[PEP]]="Y",50,0)+IF(Table310[[#This Row],[Sanctions]]="Y",70,0)+IF(Table310[[#This Row],[High Risk Country]]="Y",25,0)</f>
        <v>25</v>
      </c>
      <c r="L126" t="str">
        <f>_xlfn.IFS(Table310[[#This Row],[Risk Score]]&gt;=85,"Critical",Table310[[#This Row],[Risk Score]]&gt;=65,"High",Table310[[#This Row],[Risk Score]]&gt;=45,"Medium",TRUE,"Low")</f>
        <v>Low</v>
      </c>
    </row>
    <row r="127" spans="1:12" x14ac:dyDescent="0.3">
      <c r="A127" t="s">
        <v>2506</v>
      </c>
      <c r="B127" t="s">
        <v>2806</v>
      </c>
      <c r="C127" t="s">
        <v>189</v>
      </c>
      <c r="D127" t="s">
        <v>194</v>
      </c>
      <c r="E127" t="s">
        <v>433</v>
      </c>
      <c r="F127" t="s">
        <v>1821</v>
      </c>
      <c r="G127" t="s">
        <v>2374</v>
      </c>
      <c r="H127" t="s">
        <v>2374</v>
      </c>
      <c r="I127" t="s">
        <v>2374</v>
      </c>
      <c r="J127" t="str">
        <f>IF(COUNTIF(Table5[Country],Table310[Country])&gt;0,"Y","N")</f>
        <v>Y</v>
      </c>
      <c r="K127">
        <f>IF(Table310[[#This Row],[Adverse Media]]="Y",15,0)+IF(Table310[[#This Row],[PEP]]="Y",50,0)+IF(Table310[[#This Row],[Sanctions]]="Y",70,0)+IF(Table310[[#This Row],[High Risk Country]]="Y",25,0)</f>
        <v>25</v>
      </c>
      <c r="L127" t="str">
        <f>_xlfn.IFS(Table310[[#This Row],[Risk Score]]&gt;=85,"Critical",Table310[[#This Row],[Risk Score]]&gt;=65,"High",Table310[[#This Row],[Risk Score]]&gt;=45,"Medium",TRUE,"Low")</f>
        <v>Low</v>
      </c>
    </row>
    <row r="128" spans="1:12" x14ac:dyDescent="0.3">
      <c r="A128" t="s">
        <v>2507</v>
      </c>
      <c r="B128" t="s">
        <v>2807</v>
      </c>
      <c r="C128" t="s">
        <v>189</v>
      </c>
      <c r="D128" t="s">
        <v>236</v>
      </c>
      <c r="E128" t="s">
        <v>3518</v>
      </c>
      <c r="F128" t="s">
        <v>3675</v>
      </c>
      <c r="G128" t="s">
        <v>2374</v>
      </c>
      <c r="H128" t="s">
        <v>2374</v>
      </c>
      <c r="I128" t="s">
        <v>2375</v>
      </c>
      <c r="J128" t="str">
        <f>IF(COUNTIF(Table5[Country],Table310[Country])&gt;0,"Y","N")</f>
        <v>Y</v>
      </c>
      <c r="K128">
        <f>IF(Table310[[#This Row],[Adverse Media]]="Y",15,0)+IF(Table310[[#This Row],[PEP]]="Y",50,0)+IF(Table310[[#This Row],[Sanctions]]="Y",70,0)+IF(Table310[[#This Row],[High Risk Country]]="Y",25,0)</f>
        <v>95</v>
      </c>
      <c r="L128" t="str">
        <f>_xlfn.IFS(Table310[[#This Row],[Risk Score]]&gt;=85,"Critical",Table310[[#This Row],[Risk Score]]&gt;=65,"High",Table310[[#This Row],[Risk Score]]&gt;=45,"Medium",TRUE,"Low")</f>
        <v>Critical</v>
      </c>
    </row>
    <row r="129" spans="1:12" x14ac:dyDescent="0.3">
      <c r="A129" t="s">
        <v>2508</v>
      </c>
      <c r="B129" t="s">
        <v>2808</v>
      </c>
      <c r="C129" t="s">
        <v>189</v>
      </c>
      <c r="D129" t="s">
        <v>217</v>
      </c>
      <c r="E129" t="s">
        <v>3519</v>
      </c>
      <c r="F129" t="s">
        <v>414</v>
      </c>
      <c r="G129" t="s">
        <v>2374</v>
      </c>
      <c r="H129" t="s">
        <v>2374</v>
      </c>
      <c r="I129" t="s">
        <v>2374</v>
      </c>
      <c r="J129" t="str">
        <f>IF(COUNTIF(Table5[Country],Table310[Country])&gt;0,"Y","N")</f>
        <v>Y</v>
      </c>
      <c r="K129">
        <f>IF(Table310[[#This Row],[Adverse Media]]="Y",15,0)+IF(Table310[[#This Row],[PEP]]="Y",50,0)+IF(Table310[[#This Row],[Sanctions]]="Y",70,0)+IF(Table310[[#This Row],[High Risk Country]]="Y",25,0)</f>
        <v>25</v>
      </c>
      <c r="L129" t="str">
        <f>_xlfn.IFS(Table310[[#This Row],[Risk Score]]&gt;=85,"Critical",Table310[[#This Row],[Risk Score]]&gt;=65,"High",Table310[[#This Row],[Risk Score]]&gt;=45,"Medium",TRUE,"Low")</f>
        <v>Low</v>
      </c>
    </row>
    <row r="130" spans="1:12" x14ac:dyDescent="0.3">
      <c r="A130" t="s">
        <v>2509</v>
      </c>
      <c r="B130" t="s">
        <v>2809</v>
      </c>
      <c r="C130" t="s">
        <v>189</v>
      </c>
      <c r="D130" t="s">
        <v>219</v>
      </c>
      <c r="E130" t="s">
        <v>392</v>
      </c>
      <c r="F130" t="s">
        <v>3676</v>
      </c>
      <c r="G130" t="s">
        <v>2375</v>
      </c>
      <c r="H130" t="s">
        <v>2374</v>
      </c>
      <c r="I130" t="s">
        <v>2375</v>
      </c>
      <c r="J130" t="str">
        <f>IF(COUNTIF(Table5[Country],Table310[Country])&gt;0,"Y","N")</f>
        <v>Y</v>
      </c>
      <c r="K130">
        <f>IF(Table310[[#This Row],[Adverse Media]]="Y",15,0)+IF(Table310[[#This Row],[PEP]]="Y",50,0)+IF(Table310[[#This Row],[Sanctions]]="Y",70,0)+IF(Table310[[#This Row],[High Risk Country]]="Y",25,0)</f>
        <v>110</v>
      </c>
      <c r="L130" t="str">
        <f>_xlfn.IFS(Table310[[#This Row],[Risk Score]]&gt;=85,"Critical",Table310[[#This Row],[Risk Score]]&gt;=65,"High",Table310[[#This Row],[Risk Score]]&gt;=45,"Medium",TRUE,"Low")</f>
        <v>Critical</v>
      </c>
    </row>
    <row r="131" spans="1:12" x14ac:dyDescent="0.3">
      <c r="A131" t="s">
        <v>2510</v>
      </c>
      <c r="B131" t="s">
        <v>2810</v>
      </c>
      <c r="C131" t="s">
        <v>189</v>
      </c>
      <c r="D131" t="s">
        <v>230</v>
      </c>
      <c r="E131" t="s">
        <v>3520</v>
      </c>
      <c r="F131" t="s">
        <v>3677</v>
      </c>
      <c r="G131" t="s">
        <v>2374</v>
      </c>
      <c r="H131" t="s">
        <v>2374</v>
      </c>
      <c r="I131" t="s">
        <v>2375</v>
      </c>
      <c r="J131" t="str">
        <f>IF(COUNTIF(Table5[Country],Table310[Country])&gt;0,"Y","N")</f>
        <v>N</v>
      </c>
      <c r="K131">
        <f>IF(Table310[[#This Row],[Adverse Media]]="Y",15,0)+IF(Table310[[#This Row],[PEP]]="Y",50,0)+IF(Table310[[#This Row],[Sanctions]]="Y",70,0)+IF(Table310[[#This Row],[High Risk Country]]="Y",25,0)</f>
        <v>70</v>
      </c>
      <c r="L131" t="str">
        <f>_xlfn.IFS(Table310[[#This Row],[Risk Score]]&gt;=85,"Critical",Table310[[#This Row],[Risk Score]]&gt;=65,"High",Table310[[#This Row],[Risk Score]]&gt;=45,"Medium",TRUE,"Low")</f>
        <v>High</v>
      </c>
    </row>
    <row r="132" spans="1:12" x14ac:dyDescent="0.3">
      <c r="A132" t="s">
        <v>2511</v>
      </c>
      <c r="B132" t="s">
        <v>2811</v>
      </c>
      <c r="C132" t="s">
        <v>189</v>
      </c>
      <c r="D132" t="s">
        <v>231</v>
      </c>
      <c r="E132" t="s">
        <v>3521</v>
      </c>
      <c r="F132" t="s">
        <v>3382</v>
      </c>
      <c r="G132" t="s">
        <v>2374</v>
      </c>
      <c r="H132" t="s">
        <v>2374</v>
      </c>
      <c r="I132" t="s">
        <v>2375</v>
      </c>
      <c r="J132" t="str">
        <f>IF(COUNTIF(Table5[Country],Table310[Country])&gt;0,"Y","N")</f>
        <v>N</v>
      </c>
      <c r="K132">
        <f>IF(Table310[[#This Row],[Adverse Media]]="Y",15,0)+IF(Table310[[#This Row],[PEP]]="Y",50,0)+IF(Table310[[#This Row],[Sanctions]]="Y",70,0)+IF(Table310[[#This Row],[High Risk Country]]="Y",25,0)</f>
        <v>70</v>
      </c>
      <c r="L132" t="str">
        <f>_xlfn.IFS(Table310[[#This Row],[Risk Score]]&gt;=85,"Critical",Table310[[#This Row],[Risk Score]]&gt;=65,"High",Table310[[#This Row],[Risk Score]]&gt;=45,"Medium",TRUE,"Low")</f>
        <v>High</v>
      </c>
    </row>
    <row r="133" spans="1:12" x14ac:dyDescent="0.3">
      <c r="A133" t="s">
        <v>2512</v>
      </c>
      <c r="B133" t="s">
        <v>2812</v>
      </c>
      <c r="C133" t="s">
        <v>189</v>
      </c>
      <c r="D133" t="s">
        <v>245</v>
      </c>
      <c r="E133" t="s">
        <v>3522</v>
      </c>
      <c r="F133" t="s">
        <v>414</v>
      </c>
      <c r="G133" t="s">
        <v>2375</v>
      </c>
      <c r="H133" t="s">
        <v>2374</v>
      </c>
      <c r="I133" t="s">
        <v>2374</v>
      </c>
      <c r="J133" t="str">
        <f>IF(COUNTIF(Table5[Country],Table310[Country])&gt;0,"Y","N")</f>
        <v>Y</v>
      </c>
      <c r="K133">
        <f>IF(Table310[[#This Row],[Adverse Media]]="Y",15,0)+IF(Table310[[#This Row],[PEP]]="Y",50,0)+IF(Table310[[#This Row],[Sanctions]]="Y",70,0)+IF(Table310[[#This Row],[High Risk Country]]="Y",25,0)</f>
        <v>40</v>
      </c>
      <c r="L133" t="str">
        <f>_xlfn.IFS(Table310[[#This Row],[Risk Score]]&gt;=85,"Critical",Table310[[#This Row],[Risk Score]]&gt;=65,"High",Table310[[#This Row],[Risk Score]]&gt;=45,"Medium",TRUE,"Low")</f>
        <v>Low</v>
      </c>
    </row>
    <row r="134" spans="1:12" x14ac:dyDescent="0.3">
      <c r="A134" t="s">
        <v>2513</v>
      </c>
      <c r="B134" t="s">
        <v>2813</v>
      </c>
      <c r="C134" t="s">
        <v>189</v>
      </c>
      <c r="D134" t="s">
        <v>194</v>
      </c>
      <c r="E134" t="s">
        <v>3523</v>
      </c>
      <c r="F134" t="s">
        <v>347</v>
      </c>
      <c r="G134" t="s">
        <v>2375</v>
      </c>
      <c r="H134" t="s">
        <v>2374</v>
      </c>
      <c r="I134" t="s">
        <v>2374</v>
      </c>
      <c r="J134" t="str">
        <f>IF(COUNTIF(Table5[Country],Table310[Country])&gt;0,"Y","N")</f>
        <v>Y</v>
      </c>
      <c r="K134">
        <f>IF(Table310[[#This Row],[Adverse Media]]="Y",15,0)+IF(Table310[[#This Row],[PEP]]="Y",50,0)+IF(Table310[[#This Row],[Sanctions]]="Y",70,0)+IF(Table310[[#This Row],[High Risk Country]]="Y",25,0)</f>
        <v>40</v>
      </c>
      <c r="L134" t="str">
        <f>_xlfn.IFS(Table310[[#This Row],[Risk Score]]&gt;=85,"Critical",Table310[[#This Row],[Risk Score]]&gt;=65,"High",Table310[[#This Row],[Risk Score]]&gt;=45,"Medium",TRUE,"Low")</f>
        <v>Low</v>
      </c>
    </row>
    <row r="135" spans="1:12" x14ac:dyDescent="0.3">
      <c r="A135" t="s">
        <v>2514</v>
      </c>
      <c r="B135" t="s">
        <v>2814</v>
      </c>
      <c r="C135" t="s">
        <v>189</v>
      </c>
      <c r="D135" t="s">
        <v>214</v>
      </c>
      <c r="E135" t="s">
        <v>3524</v>
      </c>
      <c r="F135" t="s">
        <v>3606</v>
      </c>
      <c r="G135" t="s">
        <v>2374</v>
      </c>
      <c r="H135" t="s">
        <v>2374</v>
      </c>
      <c r="I135" t="s">
        <v>2374</v>
      </c>
      <c r="J135" t="str">
        <f>IF(COUNTIF(Table5[Country],Table310[Country])&gt;0,"Y","N")</f>
        <v>N</v>
      </c>
      <c r="K135">
        <f>IF(Table310[[#This Row],[Adverse Media]]="Y",15,0)+IF(Table310[[#This Row],[PEP]]="Y",50,0)+IF(Table310[[#This Row],[Sanctions]]="Y",70,0)+IF(Table310[[#This Row],[High Risk Country]]="Y",25,0)</f>
        <v>0</v>
      </c>
      <c r="L135" t="str">
        <f>_xlfn.IFS(Table310[[#This Row],[Risk Score]]&gt;=85,"Critical",Table310[[#This Row],[Risk Score]]&gt;=65,"High",Table310[[#This Row],[Risk Score]]&gt;=45,"Medium",TRUE,"Low")</f>
        <v>Low</v>
      </c>
    </row>
    <row r="136" spans="1:12" x14ac:dyDescent="0.3">
      <c r="A136" t="s">
        <v>2515</v>
      </c>
      <c r="B136" t="s">
        <v>2815</v>
      </c>
      <c r="C136" t="s">
        <v>189</v>
      </c>
      <c r="D136" t="s">
        <v>213</v>
      </c>
      <c r="E136" t="s">
        <v>3525</v>
      </c>
      <c r="F136" t="s">
        <v>3678</v>
      </c>
      <c r="G136" t="s">
        <v>2374</v>
      </c>
      <c r="H136" t="s">
        <v>2374</v>
      </c>
      <c r="I136" t="s">
        <v>2374</v>
      </c>
      <c r="J136" t="str">
        <f>IF(COUNTIF(Table5[Country],Table310[Country])&gt;0,"Y","N")</f>
        <v>Y</v>
      </c>
      <c r="K136">
        <f>IF(Table310[[#This Row],[Adverse Media]]="Y",15,0)+IF(Table310[[#This Row],[PEP]]="Y",50,0)+IF(Table310[[#This Row],[Sanctions]]="Y",70,0)+IF(Table310[[#This Row],[High Risk Country]]="Y",25,0)</f>
        <v>25</v>
      </c>
      <c r="L136" t="str">
        <f>_xlfn.IFS(Table310[[#This Row],[Risk Score]]&gt;=85,"Critical",Table310[[#This Row],[Risk Score]]&gt;=65,"High",Table310[[#This Row],[Risk Score]]&gt;=45,"Medium",TRUE,"Low")</f>
        <v>Low</v>
      </c>
    </row>
    <row r="137" spans="1:12" x14ac:dyDescent="0.3">
      <c r="A137" t="s">
        <v>2516</v>
      </c>
      <c r="B137" t="s">
        <v>2816</v>
      </c>
      <c r="C137" t="s">
        <v>189</v>
      </c>
      <c r="D137" t="s">
        <v>231</v>
      </c>
      <c r="E137" t="s">
        <v>3526</v>
      </c>
      <c r="F137" t="s">
        <v>2337</v>
      </c>
      <c r="G137" t="s">
        <v>2374</v>
      </c>
      <c r="H137" t="s">
        <v>2374</v>
      </c>
      <c r="I137" t="s">
        <v>2374</v>
      </c>
      <c r="J137" t="str">
        <f>IF(COUNTIF(Table5[Country],Table310[Country])&gt;0,"Y","N")</f>
        <v>N</v>
      </c>
      <c r="K137">
        <f>IF(Table310[[#This Row],[Adverse Media]]="Y",15,0)+IF(Table310[[#This Row],[PEP]]="Y",50,0)+IF(Table310[[#This Row],[Sanctions]]="Y",70,0)+IF(Table310[[#This Row],[High Risk Country]]="Y",25,0)</f>
        <v>0</v>
      </c>
      <c r="L137" t="str">
        <f>_xlfn.IFS(Table310[[#This Row],[Risk Score]]&gt;=85,"Critical",Table310[[#This Row],[Risk Score]]&gt;=65,"High",Table310[[#This Row],[Risk Score]]&gt;=45,"Medium",TRUE,"Low")</f>
        <v>Low</v>
      </c>
    </row>
    <row r="138" spans="1:12" x14ac:dyDescent="0.3">
      <c r="A138" t="s">
        <v>2517</v>
      </c>
      <c r="B138" t="s">
        <v>2817</v>
      </c>
      <c r="C138" t="s">
        <v>189</v>
      </c>
      <c r="D138" t="s">
        <v>216</v>
      </c>
      <c r="E138" t="s">
        <v>3302</v>
      </c>
      <c r="F138" t="s">
        <v>3679</v>
      </c>
      <c r="G138" t="s">
        <v>2374</v>
      </c>
      <c r="H138" t="s">
        <v>2374</v>
      </c>
      <c r="I138" t="s">
        <v>2374</v>
      </c>
      <c r="J138" t="str">
        <f>IF(COUNTIF(Table5[Country],Table310[Country])&gt;0,"Y","N")</f>
        <v>N</v>
      </c>
      <c r="K138">
        <f>IF(Table310[[#This Row],[Adverse Media]]="Y",15,0)+IF(Table310[[#This Row],[PEP]]="Y",50,0)+IF(Table310[[#This Row],[Sanctions]]="Y",70,0)+IF(Table310[[#This Row],[High Risk Country]]="Y",25,0)</f>
        <v>0</v>
      </c>
      <c r="L138" t="str">
        <f>_xlfn.IFS(Table310[[#This Row],[Risk Score]]&gt;=85,"Critical",Table310[[#This Row],[Risk Score]]&gt;=65,"High",Table310[[#This Row],[Risk Score]]&gt;=45,"Medium",TRUE,"Low")</f>
        <v>Low</v>
      </c>
    </row>
    <row r="139" spans="1:12" x14ac:dyDescent="0.3">
      <c r="A139" t="s">
        <v>2518</v>
      </c>
      <c r="B139" t="s">
        <v>2818</v>
      </c>
      <c r="C139" t="s">
        <v>189</v>
      </c>
      <c r="D139" t="s">
        <v>240</v>
      </c>
      <c r="E139" t="s">
        <v>3527</v>
      </c>
      <c r="F139" t="s">
        <v>3680</v>
      </c>
      <c r="G139" t="s">
        <v>2374</v>
      </c>
      <c r="H139" t="s">
        <v>2374</v>
      </c>
      <c r="I139" t="s">
        <v>2374</v>
      </c>
      <c r="J139" t="str">
        <f>IF(COUNTIF(Table5[Country],Table310[Country])&gt;0,"Y","N")</f>
        <v>N</v>
      </c>
      <c r="K139">
        <f>IF(Table310[[#This Row],[Adverse Media]]="Y",15,0)+IF(Table310[[#This Row],[PEP]]="Y",50,0)+IF(Table310[[#This Row],[Sanctions]]="Y",70,0)+IF(Table310[[#This Row],[High Risk Country]]="Y",25,0)</f>
        <v>0</v>
      </c>
      <c r="L139" t="str">
        <f>_xlfn.IFS(Table310[[#This Row],[Risk Score]]&gt;=85,"Critical",Table310[[#This Row],[Risk Score]]&gt;=65,"High",Table310[[#This Row],[Risk Score]]&gt;=45,"Medium",TRUE,"Low")</f>
        <v>Low</v>
      </c>
    </row>
    <row r="140" spans="1:12" x14ac:dyDescent="0.3">
      <c r="A140" t="s">
        <v>2519</v>
      </c>
      <c r="B140" t="s">
        <v>2819</v>
      </c>
      <c r="C140" t="s">
        <v>189</v>
      </c>
      <c r="D140" t="s">
        <v>225</v>
      </c>
      <c r="E140" t="s">
        <v>676</v>
      </c>
      <c r="F140" t="s">
        <v>3681</v>
      </c>
      <c r="G140" t="s">
        <v>2374</v>
      </c>
      <c r="H140" t="s">
        <v>2374</v>
      </c>
      <c r="I140" t="s">
        <v>2375</v>
      </c>
      <c r="J140" t="str">
        <f>IF(COUNTIF(Table5[Country],Table310[Country])&gt;0,"Y","N")</f>
        <v>N</v>
      </c>
      <c r="K140">
        <f>IF(Table310[[#This Row],[Adverse Media]]="Y",15,0)+IF(Table310[[#This Row],[PEP]]="Y",50,0)+IF(Table310[[#This Row],[Sanctions]]="Y",70,0)+IF(Table310[[#This Row],[High Risk Country]]="Y",25,0)</f>
        <v>70</v>
      </c>
      <c r="L140" t="str">
        <f>_xlfn.IFS(Table310[[#This Row],[Risk Score]]&gt;=85,"Critical",Table310[[#This Row],[Risk Score]]&gt;=65,"High",Table310[[#This Row],[Risk Score]]&gt;=45,"Medium",TRUE,"Low")</f>
        <v>High</v>
      </c>
    </row>
    <row r="141" spans="1:12" x14ac:dyDescent="0.3">
      <c r="A141" t="s">
        <v>2520</v>
      </c>
      <c r="B141" t="s">
        <v>2820</v>
      </c>
      <c r="C141" t="s">
        <v>189</v>
      </c>
      <c r="D141" t="s">
        <v>248</v>
      </c>
      <c r="E141" t="s">
        <v>464</v>
      </c>
      <c r="F141" t="s">
        <v>3682</v>
      </c>
      <c r="G141" t="s">
        <v>2375</v>
      </c>
      <c r="H141" t="s">
        <v>2374</v>
      </c>
      <c r="I141" t="s">
        <v>2374</v>
      </c>
      <c r="J141" t="str">
        <f>IF(COUNTIF(Table5[Country],Table310[Country])&gt;0,"Y","N")</f>
        <v>N</v>
      </c>
      <c r="K141">
        <f>IF(Table310[[#This Row],[Adverse Media]]="Y",15,0)+IF(Table310[[#This Row],[PEP]]="Y",50,0)+IF(Table310[[#This Row],[Sanctions]]="Y",70,0)+IF(Table310[[#This Row],[High Risk Country]]="Y",25,0)</f>
        <v>15</v>
      </c>
      <c r="L141" t="str">
        <f>_xlfn.IFS(Table310[[#This Row],[Risk Score]]&gt;=85,"Critical",Table310[[#This Row],[Risk Score]]&gt;=65,"High",Table310[[#This Row],[Risk Score]]&gt;=45,"Medium",TRUE,"Low")</f>
        <v>Low</v>
      </c>
    </row>
    <row r="142" spans="1:12" x14ac:dyDescent="0.3">
      <c r="A142" t="s">
        <v>2521</v>
      </c>
      <c r="B142" t="s">
        <v>2821</v>
      </c>
      <c r="C142" t="s">
        <v>189</v>
      </c>
      <c r="D142" t="s">
        <v>198</v>
      </c>
      <c r="E142" t="s">
        <v>328</v>
      </c>
      <c r="F142" t="s">
        <v>3683</v>
      </c>
      <c r="G142" t="s">
        <v>2375</v>
      </c>
      <c r="H142" t="s">
        <v>2374</v>
      </c>
      <c r="I142" t="s">
        <v>2374</v>
      </c>
      <c r="J142" t="str">
        <f>IF(COUNTIF(Table5[Country],Table310[Country])&gt;0,"Y","N")</f>
        <v>N</v>
      </c>
      <c r="K142">
        <f>IF(Table310[[#This Row],[Adverse Media]]="Y",15,0)+IF(Table310[[#This Row],[PEP]]="Y",50,0)+IF(Table310[[#This Row],[Sanctions]]="Y",70,0)+IF(Table310[[#This Row],[High Risk Country]]="Y",25,0)</f>
        <v>15</v>
      </c>
      <c r="L142" t="str">
        <f>_xlfn.IFS(Table310[[#This Row],[Risk Score]]&gt;=85,"Critical",Table310[[#This Row],[Risk Score]]&gt;=65,"High",Table310[[#This Row],[Risk Score]]&gt;=45,"Medium",TRUE,"Low")</f>
        <v>Low</v>
      </c>
    </row>
    <row r="143" spans="1:12" x14ac:dyDescent="0.3">
      <c r="A143" t="s">
        <v>2522</v>
      </c>
      <c r="B143" t="s">
        <v>2822</v>
      </c>
      <c r="C143" t="s">
        <v>189</v>
      </c>
      <c r="D143" t="s">
        <v>220</v>
      </c>
      <c r="E143" t="s">
        <v>3528</v>
      </c>
      <c r="F143" t="s">
        <v>3684</v>
      </c>
      <c r="G143" t="s">
        <v>2374</v>
      </c>
      <c r="H143" t="s">
        <v>2374</v>
      </c>
      <c r="I143" t="s">
        <v>2375</v>
      </c>
      <c r="J143" t="str">
        <f>IF(COUNTIF(Table5[Country],Table310[Country])&gt;0,"Y","N")</f>
        <v>N</v>
      </c>
      <c r="K143">
        <f>IF(Table310[[#This Row],[Adverse Media]]="Y",15,0)+IF(Table310[[#This Row],[PEP]]="Y",50,0)+IF(Table310[[#This Row],[Sanctions]]="Y",70,0)+IF(Table310[[#This Row],[High Risk Country]]="Y",25,0)</f>
        <v>70</v>
      </c>
      <c r="L143" t="str">
        <f>_xlfn.IFS(Table310[[#This Row],[Risk Score]]&gt;=85,"Critical",Table310[[#This Row],[Risk Score]]&gt;=65,"High",Table310[[#This Row],[Risk Score]]&gt;=45,"Medium",TRUE,"Low")</f>
        <v>High</v>
      </c>
    </row>
    <row r="144" spans="1:12" x14ac:dyDescent="0.3">
      <c r="A144" t="s">
        <v>2523</v>
      </c>
      <c r="B144" t="s">
        <v>2823</v>
      </c>
      <c r="C144" t="s">
        <v>189</v>
      </c>
      <c r="D144" t="s">
        <v>221</v>
      </c>
      <c r="E144" t="s">
        <v>672</v>
      </c>
      <c r="F144" t="s">
        <v>322</v>
      </c>
      <c r="G144" t="s">
        <v>2375</v>
      </c>
      <c r="H144" t="s">
        <v>2374</v>
      </c>
      <c r="I144" t="s">
        <v>2374</v>
      </c>
      <c r="J144" t="str">
        <f>IF(COUNTIF(Table5[Country],Table310[Country])&gt;0,"Y","N")</f>
        <v>N</v>
      </c>
      <c r="K144">
        <f>IF(Table310[[#This Row],[Adverse Media]]="Y",15,0)+IF(Table310[[#This Row],[PEP]]="Y",50,0)+IF(Table310[[#This Row],[Sanctions]]="Y",70,0)+IF(Table310[[#This Row],[High Risk Country]]="Y",25,0)</f>
        <v>15</v>
      </c>
      <c r="L144" t="str">
        <f>_xlfn.IFS(Table310[[#This Row],[Risk Score]]&gt;=85,"Critical",Table310[[#This Row],[Risk Score]]&gt;=65,"High",Table310[[#This Row],[Risk Score]]&gt;=45,"Medium",TRUE,"Low")</f>
        <v>Low</v>
      </c>
    </row>
    <row r="145" spans="1:12" x14ac:dyDescent="0.3">
      <c r="A145" t="s">
        <v>2524</v>
      </c>
      <c r="B145" t="s">
        <v>2824</v>
      </c>
      <c r="C145" t="s">
        <v>189</v>
      </c>
      <c r="D145" t="s">
        <v>209</v>
      </c>
      <c r="E145" t="s">
        <v>678</v>
      </c>
      <c r="F145" t="s">
        <v>3685</v>
      </c>
      <c r="G145" t="s">
        <v>2374</v>
      </c>
      <c r="H145" t="s">
        <v>2374</v>
      </c>
      <c r="I145" t="s">
        <v>2375</v>
      </c>
      <c r="J145" t="str">
        <f>IF(COUNTIF(Table5[Country],Table310[Country])&gt;0,"Y","N")</f>
        <v>N</v>
      </c>
      <c r="K145">
        <f>IF(Table310[[#This Row],[Adverse Media]]="Y",15,0)+IF(Table310[[#This Row],[PEP]]="Y",50,0)+IF(Table310[[#This Row],[Sanctions]]="Y",70,0)+IF(Table310[[#This Row],[High Risk Country]]="Y",25,0)</f>
        <v>70</v>
      </c>
      <c r="L145" t="str">
        <f>_xlfn.IFS(Table310[[#This Row],[Risk Score]]&gt;=85,"Critical",Table310[[#This Row],[Risk Score]]&gt;=65,"High",Table310[[#This Row],[Risk Score]]&gt;=45,"Medium",TRUE,"Low")</f>
        <v>High</v>
      </c>
    </row>
    <row r="146" spans="1:12" x14ac:dyDescent="0.3">
      <c r="A146" t="s">
        <v>2525</v>
      </c>
      <c r="B146" t="s">
        <v>2825</v>
      </c>
      <c r="C146" t="s">
        <v>189</v>
      </c>
      <c r="D146" t="s">
        <v>194</v>
      </c>
      <c r="E146" t="s">
        <v>3529</v>
      </c>
      <c r="F146" t="s">
        <v>3394</v>
      </c>
      <c r="G146" t="s">
        <v>2375</v>
      </c>
      <c r="H146" t="s">
        <v>2374</v>
      </c>
      <c r="I146" t="s">
        <v>2374</v>
      </c>
      <c r="J146" t="str">
        <f>IF(COUNTIF(Table5[Country],Table310[Country])&gt;0,"Y","N")</f>
        <v>Y</v>
      </c>
      <c r="K146">
        <f>IF(Table310[[#This Row],[Adverse Media]]="Y",15,0)+IF(Table310[[#This Row],[PEP]]="Y",50,0)+IF(Table310[[#This Row],[Sanctions]]="Y",70,0)+IF(Table310[[#This Row],[High Risk Country]]="Y",25,0)</f>
        <v>40</v>
      </c>
      <c r="L146" t="str">
        <f>_xlfn.IFS(Table310[[#This Row],[Risk Score]]&gt;=85,"Critical",Table310[[#This Row],[Risk Score]]&gt;=65,"High",Table310[[#This Row],[Risk Score]]&gt;=45,"Medium",TRUE,"Low")</f>
        <v>Low</v>
      </c>
    </row>
    <row r="147" spans="1:12" x14ac:dyDescent="0.3">
      <c r="A147" t="s">
        <v>2526</v>
      </c>
      <c r="B147" t="s">
        <v>2826</v>
      </c>
      <c r="C147" t="s">
        <v>189</v>
      </c>
      <c r="D147" t="s">
        <v>227</v>
      </c>
      <c r="E147" t="s">
        <v>297</v>
      </c>
      <c r="F147" t="s">
        <v>3455</v>
      </c>
      <c r="G147" t="s">
        <v>2375</v>
      </c>
      <c r="H147" t="s">
        <v>2374</v>
      </c>
      <c r="I147" t="s">
        <v>2375</v>
      </c>
      <c r="J147" t="str">
        <f>IF(COUNTIF(Table5[Country],Table310[Country])&gt;0,"Y","N")</f>
        <v>N</v>
      </c>
      <c r="K147">
        <f>IF(Table310[[#This Row],[Adverse Media]]="Y",15,0)+IF(Table310[[#This Row],[PEP]]="Y",50,0)+IF(Table310[[#This Row],[Sanctions]]="Y",70,0)+IF(Table310[[#This Row],[High Risk Country]]="Y",25,0)</f>
        <v>85</v>
      </c>
      <c r="L147" t="str">
        <f>_xlfn.IFS(Table310[[#This Row],[Risk Score]]&gt;=85,"Critical",Table310[[#This Row],[Risk Score]]&gt;=65,"High",Table310[[#This Row],[Risk Score]]&gt;=45,"Medium",TRUE,"Low")</f>
        <v>Critical</v>
      </c>
    </row>
    <row r="148" spans="1:12" x14ac:dyDescent="0.3">
      <c r="A148" t="s">
        <v>2527</v>
      </c>
      <c r="B148" t="s">
        <v>2827</v>
      </c>
      <c r="C148" t="s">
        <v>189</v>
      </c>
      <c r="D148" t="s">
        <v>206</v>
      </c>
      <c r="E148" t="s">
        <v>517</v>
      </c>
      <c r="F148" t="s">
        <v>3548</v>
      </c>
      <c r="G148" t="s">
        <v>2374</v>
      </c>
      <c r="H148" t="s">
        <v>2374</v>
      </c>
      <c r="I148" t="s">
        <v>2375</v>
      </c>
      <c r="J148" t="str">
        <f>IF(COUNTIF(Table5[Country],Table310[Country])&gt;0,"Y","N")</f>
        <v>Y</v>
      </c>
      <c r="K148">
        <f>IF(Table310[[#This Row],[Adverse Media]]="Y",15,0)+IF(Table310[[#This Row],[PEP]]="Y",50,0)+IF(Table310[[#This Row],[Sanctions]]="Y",70,0)+IF(Table310[[#This Row],[High Risk Country]]="Y",25,0)</f>
        <v>95</v>
      </c>
      <c r="L148" t="str">
        <f>_xlfn.IFS(Table310[[#This Row],[Risk Score]]&gt;=85,"Critical",Table310[[#This Row],[Risk Score]]&gt;=65,"High",Table310[[#This Row],[Risk Score]]&gt;=45,"Medium",TRUE,"Low")</f>
        <v>Critical</v>
      </c>
    </row>
    <row r="149" spans="1:12" x14ac:dyDescent="0.3">
      <c r="A149" t="s">
        <v>2528</v>
      </c>
      <c r="B149" t="s">
        <v>2828</v>
      </c>
      <c r="C149" t="s">
        <v>189</v>
      </c>
      <c r="D149" t="s">
        <v>237</v>
      </c>
      <c r="E149" t="s">
        <v>3530</v>
      </c>
      <c r="F149" t="s">
        <v>3686</v>
      </c>
      <c r="G149" t="s">
        <v>2374</v>
      </c>
      <c r="H149" t="s">
        <v>2375</v>
      </c>
      <c r="I149" t="s">
        <v>2375</v>
      </c>
      <c r="J149" t="str">
        <f>IF(COUNTIF(Table5[Country],Table310[Country])&gt;0,"Y","N")</f>
        <v>Y</v>
      </c>
      <c r="K149">
        <f>IF(Table310[[#This Row],[Adverse Media]]="Y",15,0)+IF(Table310[[#This Row],[PEP]]="Y",50,0)+IF(Table310[[#This Row],[Sanctions]]="Y",70,0)+IF(Table310[[#This Row],[High Risk Country]]="Y",25,0)</f>
        <v>145</v>
      </c>
      <c r="L149" t="str">
        <f>_xlfn.IFS(Table310[[#This Row],[Risk Score]]&gt;=85,"Critical",Table310[[#This Row],[Risk Score]]&gt;=65,"High",Table310[[#This Row],[Risk Score]]&gt;=45,"Medium",TRUE,"Low")</f>
        <v>Critical</v>
      </c>
    </row>
    <row r="150" spans="1:12" x14ac:dyDescent="0.3">
      <c r="A150" t="s">
        <v>2529</v>
      </c>
      <c r="B150" t="s">
        <v>2829</v>
      </c>
      <c r="C150" t="s">
        <v>189</v>
      </c>
      <c r="D150" t="s">
        <v>219</v>
      </c>
      <c r="E150" t="s">
        <v>3531</v>
      </c>
      <c r="F150" t="s">
        <v>2253</v>
      </c>
      <c r="G150" t="s">
        <v>2375</v>
      </c>
      <c r="H150" t="s">
        <v>2375</v>
      </c>
      <c r="I150" t="s">
        <v>2375</v>
      </c>
      <c r="J150" t="str">
        <f>IF(COUNTIF(Table5[Country],Table310[Country])&gt;0,"Y","N")</f>
        <v>Y</v>
      </c>
      <c r="K150">
        <f>IF(Table310[[#This Row],[Adverse Media]]="Y",15,0)+IF(Table310[[#This Row],[PEP]]="Y",50,0)+IF(Table310[[#This Row],[Sanctions]]="Y",70,0)+IF(Table310[[#This Row],[High Risk Country]]="Y",25,0)</f>
        <v>160</v>
      </c>
      <c r="L150" t="str">
        <f>_xlfn.IFS(Table310[[#This Row],[Risk Score]]&gt;=85,"Critical",Table310[[#This Row],[Risk Score]]&gt;=65,"High",Table310[[#This Row],[Risk Score]]&gt;=45,"Medium",TRUE,"Low")</f>
        <v>Critical</v>
      </c>
    </row>
    <row r="151" spans="1:12" x14ac:dyDescent="0.3">
      <c r="A151" t="s">
        <v>2530</v>
      </c>
      <c r="B151" t="s">
        <v>2830</v>
      </c>
      <c r="C151" t="s">
        <v>189</v>
      </c>
      <c r="D151" t="s">
        <v>200</v>
      </c>
      <c r="E151" t="s">
        <v>2292</v>
      </c>
      <c r="F151" t="s">
        <v>3687</v>
      </c>
      <c r="G151" t="s">
        <v>2375</v>
      </c>
      <c r="H151" t="s">
        <v>2374</v>
      </c>
      <c r="I151" t="s">
        <v>2374</v>
      </c>
      <c r="J151" t="str">
        <f>IF(COUNTIF(Table5[Country],Table310[Country])&gt;0,"Y","N")</f>
        <v>N</v>
      </c>
      <c r="K151">
        <f>IF(Table310[[#This Row],[Adverse Media]]="Y",15,0)+IF(Table310[[#This Row],[PEP]]="Y",50,0)+IF(Table310[[#This Row],[Sanctions]]="Y",70,0)+IF(Table310[[#This Row],[High Risk Country]]="Y",25,0)</f>
        <v>15</v>
      </c>
      <c r="L151" t="str">
        <f>_xlfn.IFS(Table310[[#This Row],[Risk Score]]&gt;=85,"Critical",Table310[[#This Row],[Risk Score]]&gt;=65,"High",Table310[[#This Row],[Risk Score]]&gt;=45,"Medium",TRUE,"Low")</f>
        <v>Low</v>
      </c>
    </row>
    <row r="152" spans="1:12" x14ac:dyDescent="0.3">
      <c r="A152" t="s">
        <v>2531</v>
      </c>
      <c r="B152" t="s">
        <v>2831</v>
      </c>
      <c r="C152" t="s">
        <v>189</v>
      </c>
      <c r="D152" t="s">
        <v>191</v>
      </c>
      <c r="E152" t="s">
        <v>3532</v>
      </c>
      <c r="F152" t="s">
        <v>3688</v>
      </c>
      <c r="G152" t="s">
        <v>2374</v>
      </c>
      <c r="H152" t="s">
        <v>2375</v>
      </c>
      <c r="I152" t="s">
        <v>2374</v>
      </c>
      <c r="J152" t="str">
        <f>IF(COUNTIF(Table5[Country],Table310[Country])&gt;0,"Y","N")</f>
        <v>N</v>
      </c>
      <c r="K152">
        <f>IF(Table310[[#This Row],[Adverse Media]]="Y",15,0)+IF(Table310[[#This Row],[PEP]]="Y",50,0)+IF(Table310[[#This Row],[Sanctions]]="Y",70,0)+IF(Table310[[#This Row],[High Risk Country]]="Y",25,0)</f>
        <v>50</v>
      </c>
      <c r="L152" t="str">
        <f>_xlfn.IFS(Table310[[#This Row],[Risk Score]]&gt;=85,"Critical",Table310[[#This Row],[Risk Score]]&gt;=65,"High",Table310[[#This Row],[Risk Score]]&gt;=45,"Medium",TRUE,"Low")</f>
        <v>Medium</v>
      </c>
    </row>
    <row r="153" spans="1:12" x14ac:dyDescent="0.3">
      <c r="A153" t="s">
        <v>2532</v>
      </c>
      <c r="B153" t="s">
        <v>2832</v>
      </c>
      <c r="C153" t="s">
        <v>189</v>
      </c>
      <c r="D153" t="s">
        <v>237</v>
      </c>
      <c r="E153" t="s">
        <v>3533</v>
      </c>
      <c r="F153" t="s">
        <v>3689</v>
      </c>
      <c r="G153" t="s">
        <v>2375</v>
      </c>
      <c r="H153" t="s">
        <v>2375</v>
      </c>
      <c r="I153" t="s">
        <v>2375</v>
      </c>
      <c r="J153" t="str">
        <f>IF(COUNTIF(Table5[Country],Table310[Country])&gt;0,"Y","N")</f>
        <v>Y</v>
      </c>
      <c r="K153">
        <f>IF(Table310[[#This Row],[Adverse Media]]="Y",15,0)+IF(Table310[[#This Row],[PEP]]="Y",50,0)+IF(Table310[[#This Row],[Sanctions]]="Y",70,0)+IF(Table310[[#This Row],[High Risk Country]]="Y",25,0)</f>
        <v>160</v>
      </c>
      <c r="L153" t="str">
        <f>_xlfn.IFS(Table310[[#This Row],[Risk Score]]&gt;=85,"Critical",Table310[[#This Row],[Risk Score]]&gt;=65,"High",Table310[[#This Row],[Risk Score]]&gt;=45,"Medium",TRUE,"Low")</f>
        <v>Critical</v>
      </c>
    </row>
    <row r="154" spans="1:12" x14ac:dyDescent="0.3">
      <c r="A154" t="s">
        <v>2533</v>
      </c>
      <c r="B154" t="s">
        <v>2833</v>
      </c>
      <c r="C154" t="s">
        <v>189</v>
      </c>
      <c r="D154" t="s">
        <v>237</v>
      </c>
      <c r="E154" t="s">
        <v>361</v>
      </c>
      <c r="F154" t="s">
        <v>3690</v>
      </c>
      <c r="G154" t="s">
        <v>2375</v>
      </c>
      <c r="H154" t="s">
        <v>2374</v>
      </c>
      <c r="I154" t="s">
        <v>2375</v>
      </c>
      <c r="J154" t="str">
        <f>IF(COUNTIF(Table5[Country],Table310[Country])&gt;0,"Y","N")</f>
        <v>Y</v>
      </c>
      <c r="K154">
        <f>IF(Table310[[#This Row],[Adverse Media]]="Y",15,0)+IF(Table310[[#This Row],[PEP]]="Y",50,0)+IF(Table310[[#This Row],[Sanctions]]="Y",70,0)+IF(Table310[[#This Row],[High Risk Country]]="Y",25,0)</f>
        <v>110</v>
      </c>
      <c r="L154" t="str">
        <f>_xlfn.IFS(Table310[[#This Row],[Risk Score]]&gt;=85,"Critical",Table310[[#This Row],[Risk Score]]&gt;=65,"High",Table310[[#This Row],[Risk Score]]&gt;=45,"Medium",TRUE,"Low")</f>
        <v>Critical</v>
      </c>
    </row>
    <row r="155" spans="1:12" x14ac:dyDescent="0.3">
      <c r="A155" t="s">
        <v>2534</v>
      </c>
      <c r="B155" t="s">
        <v>2834</v>
      </c>
      <c r="C155" t="s">
        <v>189</v>
      </c>
      <c r="D155" t="s">
        <v>212</v>
      </c>
      <c r="E155" t="s">
        <v>3534</v>
      </c>
      <c r="F155" t="s">
        <v>3691</v>
      </c>
      <c r="G155" t="s">
        <v>2374</v>
      </c>
      <c r="H155" t="s">
        <v>2374</v>
      </c>
      <c r="I155" t="s">
        <v>2374</v>
      </c>
      <c r="J155" t="str">
        <f>IF(COUNTIF(Table5[Country],Table310[Country])&gt;0,"Y","N")</f>
        <v>N</v>
      </c>
      <c r="K155">
        <f>IF(Table310[[#This Row],[Adverse Media]]="Y",15,0)+IF(Table310[[#This Row],[PEP]]="Y",50,0)+IF(Table310[[#This Row],[Sanctions]]="Y",70,0)+IF(Table310[[#This Row],[High Risk Country]]="Y",25,0)</f>
        <v>0</v>
      </c>
      <c r="L155" t="str">
        <f>_xlfn.IFS(Table310[[#This Row],[Risk Score]]&gt;=85,"Critical",Table310[[#This Row],[Risk Score]]&gt;=65,"High",Table310[[#This Row],[Risk Score]]&gt;=45,"Medium",TRUE,"Low")</f>
        <v>Low</v>
      </c>
    </row>
    <row r="156" spans="1:12" x14ac:dyDescent="0.3">
      <c r="A156" t="s">
        <v>2535</v>
      </c>
      <c r="B156" t="s">
        <v>2835</v>
      </c>
      <c r="C156" t="s">
        <v>189</v>
      </c>
      <c r="D156" t="s">
        <v>196</v>
      </c>
      <c r="E156" t="s">
        <v>3535</v>
      </c>
      <c r="F156" t="s">
        <v>3692</v>
      </c>
      <c r="G156" t="s">
        <v>2375</v>
      </c>
      <c r="H156" t="s">
        <v>2374</v>
      </c>
      <c r="I156" t="s">
        <v>2374</v>
      </c>
      <c r="J156" t="str">
        <f>IF(COUNTIF(Table5[Country],Table310[Country])&gt;0,"Y","N")</f>
        <v>Y</v>
      </c>
      <c r="K156">
        <f>IF(Table310[[#This Row],[Adverse Media]]="Y",15,0)+IF(Table310[[#This Row],[PEP]]="Y",50,0)+IF(Table310[[#This Row],[Sanctions]]="Y",70,0)+IF(Table310[[#This Row],[High Risk Country]]="Y",25,0)</f>
        <v>40</v>
      </c>
      <c r="L156" t="str">
        <f>_xlfn.IFS(Table310[[#This Row],[Risk Score]]&gt;=85,"Critical",Table310[[#This Row],[Risk Score]]&gt;=65,"High",Table310[[#This Row],[Risk Score]]&gt;=45,"Medium",TRUE,"Low")</f>
        <v>Low</v>
      </c>
    </row>
    <row r="157" spans="1:12" x14ac:dyDescent="0.3">
      <c r="A157" t="s">
        <v>2536</v>
      </c>
      <c r="B157" t="s">
        <v>2836</v>
      </c>
      <c r="C157" t="s">
        <v>189</v>
      </c>
      <c r="D157" t="s">
        <v>229</v>
      </c>
      <c r="E157" t="s">
        <v>3536</v>
      </c>
      <c r="F157" t="s">
        <v>1899</v>
      </c>
      <c r="G157" t="s">
        <v>2374</v>
      </c>
      <c r="H157" t="s">
        <v>2375</v>
      </c>
      <c r="I157" t="s">
        <v>2374</v>
      </c>
      <c r="J157" t="str">
        <f>IF(COUNTIF(Table5[Country],Table310[Country])&gt;0,"Y","N")</f>
        <v>N</v>
      </c>
      <c r="K157">
        <f>IF(Table310[[#This Row],[Adverse Media]]="Y",15,0)+IF(Table310[[#This Row],[PEP]]="Y",50,0)+IF(Table310[[#This Row],[Sanctions]]="Y",70,0)+IF(Table310[[#This Row],[High Risk Country]]="Y",25,0)</f>
        <v>50</v>
      </c>
      <c r="L157" t="str">
        <f>_xlfn.IFS(Table310[[#This Row],[Risk Score]]&gt;=85,"Critical",Table310[[#This Row],[Risk Score]]&gt;=65,"High",Table310[[#This Row],[Risk Score]]&gt;=45,"Medium",TRUE,"Low")</f>
        <v>Medium</v>
      </c>
    </row>
    <row r="158" spans="1:12" x14ac:dyDescent="0.3">
      <c r="A158" t="s">
        <v>2537</v>
      </c>
      <c r="B158" t="s">
        <v>2837</v>
      </c>
      <c r="C158" t="s">
        <v>189</v>
      </c>
      <c r="D158" t="s">
        <v>240</v>
      </c>
      <c r="E158" t="s">
        <v>3537</v>
      </c>
      <c r="F158" t="s">
        <v>553</v>
      </c>
      <c r="G158" t="s">
        <v>2374</v>
      </c>
      <c r="H158" t="s">
        <v>2374</v>
      </c>
      <c r="I158" t="s">
        <v>2374</v>
      </c>
      <c r="J158" t="str">
        <f>IF(COUNTIF(Table5[Country],Table310[Country])&gt;0,"Y","N")</f>
        <v>N</v>
      </c>
      <c r="K158">
        <f>IF(Table310[[#This Row],[Adverse Media]]="Y",15,0)+IF(Table310[[#This Row],[PEP]]="Y",50,0)+IF(Table310[[#This Row],[Sanctions]]="Y",70,0)+IF(Table310[[#This Row],[High Risk Country]]="Y",25,0)</f>
        <v>0</v>
      </c>
      <c r="L158" t="str">
        <f>_xlfn.IFS(Table310[[#This Row],[Risk Score]]&gt;=85,"Critical",Table310[[#This Row],[Risk Score]]&gt;=65,"High",Table310[[#This Row],[Risk Score]]&gt;=45,"Medium",TRUE,"Low")</f>
        <v>Low</v>
      </c>
    </row>
    <row r="159" spans="1:12" x14ac:dyDescent="0.3">
      <c r="A159" t="s">
        <v>2538</v>
      </c>
      <c r="B159" t="s">
        <v>2838</v>
      </c>
      <c r="C159" t="s">
        <v>189</v>
      </c>
      <c r="D159" t="s">
        <v>216</v>
      </c>
      <c r="E159" t="s">
        <v>3535</v>
      </c>
      <c r="F159" t="s">
        <v>294</v>
      </c>
      <c r="G159" t="s">
        <v>2374</v>
      </c>
      <c r="H159" t="s">
        <v>2375</v>
      </c>
      <c r="I159" t="s">
        <v>2374</v>
      </c>
      <c r="J159" t="str">
        <f>IF(COUNTIF(Table5[Country],Table310[Country])&gt;0,"Y","N")</f>
        <v>N</v>
      </c>
      <c r="K159">
        <f>IF(Table310[[#This Row],[Adverse Media]]="Y",15,0)+IF(Table310[[#This Row],[PEP]]="Y",50,0)+IF(Table310[[#This Row],[Sanctions]]="Y",70,0)+IF(Table310[[#This Row],[High Risk Country]]="Y",25,0)</f>
        <v>50</v>
      </c>
      <c r="L159" t="str">
        <f>_xlfn.IFS(Table310[[#This Row],[Risk Score]]&gt;=85,"Critical",Table310[[#This Row],[Risk Score]]&gt;=65,"High",Table310[[#This Row],[Risk Score]]&gt;=45,"Medium",TRUE,"Low")</f>
        <v>Medium</v>
      </c>
    </row>
    <row r="160" spans="1:12" x14ac:dyDescent="0.3">
      <c r="A160" t="s">
        <v>2539</v>
      </c>
      <c r="B160" t="s">
        <v>2839</v>
      </c>
      <c r="C160" t="s">
        <v>189</v>
      </c>
      <c r="D160" t="s">
        <v>249</v>
      </c>
      <c r="E160" t="s">
        <v>1976</v>
      </c>
      <c r="F160" t="s">
        <v>2167</v>
      </c>
      <c r="G160" t="s">
        <v>2375</v>
      </c>
      <c r="H160" t="s">
        <v>2375</v>
      </c>
      <c r="I160" t="s">
        <v>2374</v>
      </c>
      <c r="J160" t="str">
        <f>IF(COUNTIF(Table5[Country],Table310[Country])&gt;0,"Y","N")</f>
        <v>N</v>
      </c>
      <c r="K160">
        <f>IF(Table310[[#This Row],[Adverse Media]]="Y",15,0)+IF(Table310[[#This Row],[PEP]]="Y",50,0)+IF(Table310[[#This Row],[Sanctions]]="Y",70,0)+IF(Table310[[#This Row],[High Risk Country]]="Y",25,0)</f>
        <v>65</v>
      </c>
      <c r="L160" t="str">
        <f>_xlfn.IFS(Table310[[#This Row],[Risk Score]]&gt;=85,"Critical",Table310[[#This Row],[Risk Score]]&gt;=65,"High",Table310[[#This Row],[Risk Score]]&gt;=45,"Medium",TRUE,"Low")</f>
        <v>High</v>
      </c>
    </row>
    <row r="161" spans="1:12" x14ac:dyDescent="0.3">
      <c r="A161" t="s">
        <v>2540</v>
      </c>
      <c r="B161" t="s">
        <v>2840</v>
      </c>
      <c r="C161" t="s">
        <v>189</v>
      </c>
      <c r="D161" t="s">
        <v>194</v>
      </c>
      <c r="E161" t="s">
        <v>327</v>
      </c>
      <c r="F161" t="s">
        <v>2031</v>
      </c>
      <c r="G161" t="s">
        <v>2375</v>
      </c>
      <c r="H161" t="s">
        <v>2374</v>
      </c>
      <c r="I161" t="s">
        <v>2374</v>
      </c>
      <c r="J161" t="str">
        <f>IF(COUNTIF(Table5[Country],Table310[Country])&gt;0,"Y","N")</f>
        <v>Y</v>
      </c>
      <c r="K161">
        <f>IF(Table310[[#This Row],[Adverse Media]]="Y",15,0)+IF(Table310[[#This Row],[PEP]]="Y",50,0)+IF(Table310[[#This Row],[Sanctions]]="Y",70,0)+IF(Table310[[#This Row],[High Risk Country]]="Y",25,0)</f>
        <v>40</v>
      </c>
      <c r="L161" t="str">
        <f>_xlfn.IFS(Table310[[#This Row],[Risk Score]]&gt;=85,"Critical",Table310[[#This Row],[Risk Score]]&gt;=65,"High",Table310[[#This Row],[Risk Score]]&gt;=45,"Medium",TRUE,"Low")</f>
        <v>Low</v>
      </c>
    </row>
    <row r="162" spans="1:12" x14ac:dyDescent="0.3">
      <c r="A162" t="s">
        <v>2541</v>
      </c>
      <c r="B162" t="s">
        <v>2841</v>
      </c>
      <c r="C162" t="s">
        <v>189</v>
      </c>
      <c r="D162" t="s">
        <v>193</v>
      </c>
      <c r="E162" t="s">
        <v>3538</v>
      </c>
      <c r="F162" t="s">
        <v>3311</v>
      </c>
      <c r="G162" t="s">
        <v>2375</v>
      </c>
      <c r="H162" t="s">
        <v>2375</v>
      </c>
      <c r="I162" t="s">
        <v>2374</v>
      </c>
      <c r="J162" t="str">
        <f>IF(COUNTIF(Table5[Country],Table310[Country])&gt;0,"Y","N")</f>
        <v>Y</v>
      </c>
      <c r="K162">
        <f>IF(Table310[[#This Row],[Adverse Media]]="Y",15,0)+IF(Table310[[#This Row],[PEP]]="Y",50,0)+IF(Table310[[#This Row],[Sanctions]]="Y",70,0)+IF(Table310[[#This Row],[High Risk Country]]="Y",25,0)</f>
        <v>90</v>
      </c>
      <c r="L162" t="str">
        <f>_xlfn.IFS(Table310[[#This Row],[Risk Score]]&gt;=85,"Critical",Table310[[#This Row],[Risk Score]]&gt;=65,"High",Table310[[#This Row],[Risk Score]]&gt;=45,"Medium",TRUE,"Low")</f>
        <v>Critical</v>
      </c>
    </row>
    <row r="163" spans="1:12" x14ac:dyDescent="0.3">
      <c r="A163" t="s">
        <v>2542</v>
      </c>
      <c r="B163" t="s">
        <v>2842</v>
      </c>
      <c r="C163" t="s">
        <v>189</v>
      </c>
      <c r="D163" t="s">
        <v>211</v>
      </c>
      <c r="E163" t="s">
        <v>3539</v>
      </c>
      <c r="F163" t="s">
        <v>3693</v>
      </c>
      <c r="G163" t="s">
        <v>2374</v>
      </c>
      <c r="H163" t="s">
        <v>2375</v>
      </c>
      <c r="I163" t="s">
        <v>2374</v>
      </c>
      <c r="J163" t="str">
        <f>IF(COUNTIF(Table5[Country],Table310[Country])&gt;0,"Y","N")</f>
        <v>N</v>
      </c>
      <c r="K163">
        <f>IF(Table310[[#This Row],[Adverse Media]]="Y",15,0)+IF(Table310[[#This Row],[PEP]]="Y",50,0)+IF(Table310[[#This Row],[Sanctions]]="Y",70,0)+IF(Table310[[#This Row],[High Risk Country]]="Y",25,0)</f>
        <v>50</v>
      </c>
      <c r="L163" t="str">
        <f>_xlfn.IFS(Table310[[#This Row],[Risk Score]]&gt;=85,"Critical",Table310[[#This Row],[Risk Score]]&gt;=65,"High",Table310[[#This Row],[Risk Score]]&gt;=45,"Medium",TRUE,"Low")</f>
        <v>Medium</v>
      </c>
    </row>
    <row r="164" spans="1:12" x14ac:dyDescent="0.3">
      <c r="A164" t="s">
        <v>2543</v>
      </c>
      <c r="B164" t="s">
        <v>2843</v>
      </c>
      <c r="C164" t="s">
        <v>189</v>
      </c>
      <c r="D164" t="s">
        <v>212</v>
      </c>
      <c r="E164" t="s">
        <v>2168</v>
      </c>
      <c r="F164" t="s">
        <v>592</v>
      </c>
      <c r="G164" t="s">
        <v>2374</v>
      </c>
      <c r="H164" t="s">
        <v>2375</v>
      </c>
      <c r="I164" t="s">
        <v>2374</v>
      </c>
      <c r="J164" t="str">
        <f>IF(COUNTIF(Table5[Country],Table310[Country])&gt;0,"Y","N")</f>
        <v>N</v>
      </c>
      <c r="K164">
        <f>IF(Table310[[#This Row],[Adverse Media]]="Y",15,0)+IF(Table310[[#This Row],[PEP]]="Y",50,0)+IF(Table310[[#This Row],[Sanctions]]="Y",70,0)+IF(Table310[[#This Row],[High Risk Country]]="Y",25,0)</f>
        <v>50</v>
      </c>
      <c r="L164" t="str">
        <f>_xlfn.IFS(Table310[[#This Row],[Risk Score]]&gt;=85,"Critical",Table310[[#This Row],[Risk Score]]&gt;=65,"High",Table310[[#This Row],[Risk Score]]&gt;=45,"Medium",TRUE,"Low")</f>
        <v>Medium</v>
      </c>
    </row>
    <row r="165" spans="1:12" x14ac:dyDescent="0.3">
      <c r="A165" t="s">
        <v>2544</v>
      </c>
      <c r="B165" t="s">
        <v>2844</v>
      </c>
      <c r="C165" t="s">
        <v>189</v>
      </c>
      <c r="D165" t="s">
        <v>231</v>
      </c>
      <c r="E165" t="s">
        <v>2182</v>
      </c>
      <c r="F165" t="s">
        <v>3694</v>
      </c>
      <c r="G165" t="s">
        <v>2374</v>
      </c>
      <c r="H165" t="s">
        <v>2374</v>
      </c>
      <c r="I165" t="s">
        <v>2374</v>
      </c>
      <c r="J165" t="str">
        <f>IF(COUNTIF(Table5[Country],Table310[Country])&gt;0,"Y","N")</f>
        <v>N</v>
      </c>
      <c r="K165">
        <f>IF(Table310[[#This Row],[Adverse Media]]="Y",15,0)+IF(Table310[[#This Row],[PEP]]="Y",50,0)+IF(Table310[[#This Row],[Sanctions]]="Y",70,0)+IF(Table310[[#This Row],[High Risk Country]]="Y",25,0)</f>
        <v>0</v>
      </c>
      <c r="L165" t="str">
        <f>_xlfn.IFS(Table310[[#This Row],[Risk Score]]&gt;=85,"Critical",Table310[[#This Row],[Risk Score]]&gt;=65,"High",Table310[[#This Row],[Risk Score]]&gt;=45,"Medium",TRUE,"Low")</f>
        <v>Low</v>
      </c>
    </row>
    <row r="166" spans="1:12" x14ac:dyDescent="0.3">
      <c r="A166" t="s">
        <v>2545</v>
      </c>
      <c r="B166" t="s">
        <v>2845</v>
      </c>
      <c r="C166" t="s">
        <v>189</v>
      </c>
      <c r="D166" t="s">
        <v>222</v>
      </c>
      <c r="E166" t="s">
        <v>3540</v>
      </c>
      <c r="F166" t="s">
        <v>3304</v>
      </c>
      <c r="G166" t="s">
        <v>2375</v>
      </c>
      <c r="H166" t="s">
        <v>2375</v>
      </c>
      <c r="I166" t="s">
        <v>2374</v>
      </c>
      <c r="J166" t="str">
        <f>IF(COUNTIF(Table5[Country],Table310[Country])&gt;0,"Y","N")</f>
        <v>N</v>
      </c>
      <c r="K166">
        <f>IF(Table310[[#This Row],[Adverse Media]]="Y",15,0)+IF(Table310[[#This Row],[PEP]]="Y",50,0)+IF(Table310[[#This Row],[Sanctions]]="Y",70,0)+IF(Table310[[#This Row],[High Risk Country]]="Y",25,0)</f>
        <v>65</v>
      </c>
      <c r="L166" t="str">
        <f>_xlfn.IFS(Table310[[#This Row],[Risk Score]]&gt;=85,"Critical",Table310[[#This Row],[Risk Score]]&gt;=65,"High",Table310[[#This Row],[Risk Score]]&gt;=45,"Medium",TRUE,"Low")</f>
        <v>High</v>
      </c>
    </row>
    <row r="167" spans="1:12" x14ac:dyDescent="0.3">
      <c r="A167" t="s">
        <v>2546</v>
      </c>
      <c r="B167" t="s">
        <v>2846</v>
      </c>
      <c r="C167" t="s">
        <v>189</v>
      </c>
      <c r="D167" t="s">
        <v>248</v>
      </c>
      <c r="E167" t="s">
        <v>3541</v>
      </c>
      <c r="F167" t="s">
        <v>1947</v>
      </c>
      <c r="G167" t="s">
        <v>2375</v>
      </c>
      <c r="H167" t="s">
        <v>2374</v>
      </c>
      <c r="I167" t="s">
        <v>2374</v>
      </c>
      <c r="J167" t="str">
        <f>IF(COUNTIF(Table5[Country],Table310[Country])&gt;0,"Y","N")</f>
        <v>N</v>
      </c>
      <c r="K167">
        <f>IF(Table310[[#This Row],[Adverse Media]]="Y",15,0)+IF(Table310[[#This Row],[PEP]]="Y",50,0)+IF(Table310[[#This Row],[Sanctions]]="Y",70,0)+IF(Table310[[#This Row],[High Risk Country]]="Y",25,0)</f>
        <v>15</v>
      </c>
      <c r="L167" t="str">
        <f>_xlfn.IFS(Table310[[#This Row],[Risk Score]]&gt;=85,"Critical",Table310[[#This Row],[Risk Score]]&gt;=65,"High",Table310[[#This Row],[Risk Score]]&gt;=45,"Medium",TRUE,"Low")</f>
        <v>Low</v>
      </c>
    </row>
    <row r="168" spans="1:12" x14ac:dyDescent="0.3">
      <c r="A168" t="s">
        <v>2547</v>
      </c>
      <c r="B168" t="s">
        <v>2847</v>
      </c>
      <c r="C168" t="s">
        <v>189</v>
      </c>
      <c r="D168" t="s">
        <v>223</v>
      </c>
      <c r="E168" t="s">
        <v>3542</v>
      </c>
      <c r="F168" t="s">
        <v>3695</v>
      </c>
      <c r="G168" t="s">
        <v>2374</v>
      </c>
      <c r="H168" t="s">
        <v>2374</v>
      </c>
      <c r="I168" t="s">
        <v>2374</v>
      </c>
      <c r="J168" t="str">
        <f>IF(COUNTIF(Table5[Country],Table310[Country])&gt;0,"Y","N")</f>
        <v>N</v>
      </c>
      <c r="K168">
        <f>IF(Table310[[#This Row],[Adverse Media]]="Y",15,0)+IF(Table310[[#This Row],[PEP]]="Y",50,0)+IF(Table310[[#This Row],[Sanctions]]="Y",70,0)+IF(Table310[[#This Row],[High Risk Country]]="Y",25,0)</f>
        <v>0</v>
      </c>
      <c r="L168" t="str">
        <f>_xlfn.IFS(Table310[[#This Row],[Risk Score]]&gt;=85,"Critical",Table310[[#This Row],[Risk Score]]&gt;=65,"High",Table310[[#This Row],[Risk Score]]&gt;=45,"Medium",TRUE,"Low")</f>
        <v>Low</v>
      </c>
    </row>
    <row r="169" spans="1:12" x14ac:dyDescent="0.3">
      <c r="A169" t="s">
        <v>2548</v>
      </c>
      <c r="B169" t="s">
        <v>2848</v>
      </c>
      <c r="C169" t="s">
        <v>189</v>
      </c>
      <c r="D169" t="s">
        <v>229</v>
      </c>
      <c r="E169" t="s">
        <v>355</v>
      </c>
      <c r="F169" t="s">
        <v>1893</v>
      </c>
      <c r="G169" t="s">
        <v>2374</v>
      </c>
      <c r="H169" t="s">
        <v>2375</v>
      </c>
      <c r="I169" t="s">
        <v>2374</v>
      </c>
      <c r="J169" t="str">
        <f>IF(COUNTIF(Table5[Country],Table310[Country])&gt;0,"Y","N")</f>
        <v>N</v>
      </c>
      <c r="K169">
        <f>IF(Table310[[#This Row],[Adverse Media]]="Y",15,0)+IF(Table310[[#This Row],[PEP]]="Y",50,0)+IF(Table310[[#This Row],[Sanctions]]="Y",70,0)+IF(Table310[[#This Row],[High Risk Country]]="Y",25,0)</f>
        <v>50</v>
      </c>
      <c r="L169" t="str">
        <f>_xlfn.IFS(Table310[[#This Row],[Risk Score]]&gt;=85,"Critical",Table310[[#This Row],[Risk Score]]&gt;=65,"High",Table310[[#This Row],[Risk Score]]&gt;=45,"Medium",TRUE,"Low")</f>
        <v>Medium</v>
      </c>
    </row>
    <row r="170" spans="1:12" x14ac:dyDescent="0.3">
      <c r="A170" t="s">
        <v>2549</v>
      </c>
      <c r="B170" t="s">
        <v>2849</v>
      </c>
      <c r="C170" t="s">
        <v>189</v>
      </c>
      <c r="D170" t="s">
        <v>230</v>
      </c>
      <c r="E170" t="s">
        <v>2178</v>
      </c>
      <c r="F170" t="s">
        <v>2354</v>
      </c>
      <c r="G170" t="s">
        <v>2374</v>
      </c>
      <c r="H170" t="s">
        <v>2375</v>
      </c>
      <c r="I170" t="s">
        <v>2374</v>
      </c>
      <c r="J170" t="str">
        <f>IF(COUNTIF(Table5[Country],Table310[Country])&gt;0,"Y","N")</f>
        <v>N</v>
      </c>
      <c r="K170">
        <f>IF(Table310[[#This Row],[Adverse Media]]="Y",15,0)+IF(Table310[[#This Row],[PEP]]="Y",50,0)+IF(Table310[[#This Row],[Sanctions]]="Y",70,0)+IF(Table310[[#This Row],[High Risk Country]]="Y",25,0)</f>
        <v>50</v>
      </c>
      <c r="L170" t="str">
        <f>_xlfn.IFS(Table310[[#This Row],[Risk Score]]&gt;=85,"Critical",Table310[[#This Row],[Risk Score]]&gt;=65,"High",Table310[[#This Row],[Risk Score]]&gt;=45,"Medium",TRUE,"Low")</f>
        <v>Medium</v>
      </c>
    </row>
    <row r="171" spans="1:12" x14ac:dyDescent="0.3">
      <c r="A171" t="s">
        <v>2550</v>
      </c>
      <c r="B171" t="s">
        <v>2850</v>
      </c>
      <c r="C171" t="s">
        <v>189</v>
      </c>
      <c r="D171" t="s">
        <v>190</v>
      </c>
      <c r="E171" t="s">
        <v>1937</v>
      </c>
      <c r="F171" t="s">
        <v>3696</v>
      </c>
      <c r="G171" t="s">
        <v>2374</v>
      </c>
      <c r="H171" t="s">
        <v>2375</v>
      </c>
      <c r="I171" t="s">
        <v>2374</v>
      </c>
      <c r="J171" t="str">
        <f>IF(COUNTIF(Table5[Country],Table310[Country])&gt;0,"Y","N")</f>
        <v>N</v>
      </c>
      <c r="K171">
        <f>IF(Table310[[#This Row],[Adverse Media]]="Y",15,0)+IF(Table310[[#This Row],[PEP]]="Y",50,0)+IF(Table310[[#This Row],[Sanctions]]="Y",70,0)+IF(Table310[[#This Row],[High Risk Country]]="Y",25,0)</f>
        <v>50</v>
      </c>
      <c r="L171" t="str">
        <f>_xlfn.IFS(Table310[[#This Row],[Risk Score]]&gt;=85,"Critical",Table310[[#This Row],[Risk Score]]&gt;=65,"High",Table310[[#This Row],[Risk Score]]&gt;=45,"Medium",TRUE,"Low")</f>
        <v>Medium</v>
      </c>
    </row>
    <row r="172" spans="1:12" x14ac:dyDescent="0.3">
      <c r="A172" t="s">
        <v>2551</v>
      </c>
      <c r="B172" t="s">
        <v>2851</v>
      </c>
      <c r="C172" t="s">
        <v>189</v>
      </c>
      <c r="D172" t="s">
        <v>227</v>
      </c>
      <c r="E172" t="s">
        <v>3543</v>
      </c>
      <c r="F172" t="s">
        <v>3697</v>
      </c>
      <c r="G172" t="s">
        <v>2374</v>
      </c>
      <c r="H172" t="s">
        <v>2375</v>
      </c>
      <c r="I172" t="s">
        <v>2374</v>
      </c>
      <c r="J172" t="str">
        <f>IF(COUNTIF(Table5[Country],Table310[Country])&gt;0,"Y","N")</f>
        <v>N</v>
      </c>
      <c r="K172">
        <f>IF(Table310[[#This Row],[Adverse Media]]="Y",15,0)+IF(Table310[[#This Row],[PEP]]="Y",50,0)+IF(Table310[[#This Row],[Sanctions]]="Y",70,0)+IF(Table310[[#This Row],[High Risk Country]]="Y",25,0)</f>
        <v>50</v>
      </c>
      <c r="L172" t="str">
        <f>_xlfn.IFS(Table310[[#This Row],[Risk Score]]&gt;=85,"Critical",Table310[[#This Row],[Risk Score]]&gt;=65,"High",Table310[[#This Row],[Risk Score]]&gt;=45,"Medium",TRUE,"Low")</f>
        <v>Medium</v>
      </c>
    </row>
    <row r="173" spans="1:12" x14ac:dyDescent="0.3">
      <c r="A173" t="s">
        <v>2552</v>
      </c>
      <c r="B173" t="s">
        <v>2852</v>
      </c>
      <c r="C173" t="s">
        <v>189</v>
      </c>
      <c r="D173" t="s">
        <v>220</v>
      </c>
      <c r="E173" t="s">
        <v>3544</v>
      </c>
      <c r="F173" t="s">
        <v>492</v>
      </c>
      <c r="G173" t="s">
        <v>2374</v>
      </c>
      <c r="H173" t="s">
        <v>2374</v>
      </c>
      <c r="I173" t="s">
        <v>2374</v>
      </c>
      <c r="J173" t="str">
        <f>IF(COUNTIF(Table5[Country],Table310[Country])&gt;0,"Y","N")</f>
        <v>N</v>
      </c>
      <c r="K173">
        <f>IF(Table310[[#This Row],[Adverse Media]]="Y",15,0)+IF(Table310[[#This Row],[PEP]]="Y",50,0)+IF(Table310[[#This Row],[Sanctions]]="Y",70,0)+IF(Table310[[#This Row],[High Risk Country]]="Y",25,0)</f>
        <v>0</v>
      </c>
      <c r="L173" t="str">
        <f>_xlfn.IFS(Table310[[#This Row],[Risk Score]]&gt;=85,"Critical",Table310[[#This Row],[Risk Score]]&gt;=65,"High",Table310[[#This Row],[Risk Score]]&gt;=45,"Medium",TRUE,"Low")</f>
        <v>Low</v>
      </c>
    </row>
    <row r="174" spans="1:12" x14ac:dyDescent="0.3">
      <c r="A174" t="s">
        <v>2553</v>
      </c>
      <c r="B174" t="s">
        <v>2853</v>
      </c>
      <c r="C174" t="s">
        <v>189</v>
      </c>
      <c r="D174" t="s">
        <v>227</v>
      </c>
      <c r="E174" t="s">
        <v>446</v>
      </c>
      <c r="F174" t="s">
        <v>3451</v>
      </c>
      <c r="G174" t="s">
        <v>2374</v>
      </c>
      <c r="H174" t="s">
        <v>2374</v>
      </c>
      <c r="I174" t="s">
        <v>2374</v>
      </c>
      <c r="J174" t="str">
        <f>IF(COUNTIF(Table5[Country],Table310[Country])&gt;0,"Y","N")</f>
        <v>N</v>
      </c>
      <c r="K174">
        <f>IF(Table310[[#This Row],[Adverse Media]]="Y",15,0)+IF(Table310[[#This Row],[PEP]]="Y",50,0)+IF(Table310[[#This Row],[Sanctions]]="Y",70,0)+IF(Table310[[#This Row],[High Risk Country]]="Y",25,0)</f>
        <v>0</v>
      </c>
      <c r="L174" t="str">
        <f>_xlfn.IFS(Table310[[#This Row],[Risk Score]]&gt;=85,"Critical",Table310[[#This Row],[Risk Score]]&gt;=65,"High",Table310[[#This Row],[Risk Score]]&gt;=45,"Medium",TRUE,"Low")</f>
        <v>Low</v>
      </c>
    </row>
    <row r="175" spans="1:12" x14ac:dyDescent="0.3">
      <c r="A175" t="s">
        <v>2554</v>
      </c>
      <c r="B175" t="s">
        <v>2854</v>
      </c>
      <c r="C175" t="s">
        <v>189</v>
      </c>
      <c r="D175" t="s">
        <v>219</v>
      </c>
      <c r="E175" t="s">
        <v>3545</v>
      </c>
      <c r="F175" t="s">
        <v>3698</v>
      </c>
      <c r="G175" t="s">
        <v>2374</v>
      </c>
      <c r="H175" t="s">
        <v>2375</v>
      </c>
      <c r="I175" t="s">
        <v>2374</v>
      </c>
      <c r="J175" t="str">
        <f>IF(COUNTIF(Table5[Country],Table310[Country])&gt;0,"Y","N")</f>
        <v>Y</v>
      </c>
      <c r="K175">
        <f>IF(Table310[[#This Row],[Adverse Media]]="Y",15,0)+IF(Table310[[#This Row],[PEP]]="Y",50,0)+IF(Table310[[#This Row],[Sanctions]]="Y",70,0)+IF(Table310[[#This Row],[High Risk Country]]="Y",25,0)</f>
        <v>75</v>
      </c>
      <c r="L175" t="str">
        <f>_xlfn.IFS(Table310[[#This Row],[Risk Score]]&gt;=85,"Critical",Table310[[#This Row],[Risk Score]]&gt;=65,"High",Table310[[#This Row],[Risk Score]]&gt;=45,"Medium",TRUE,"Low")</f>
        <v>High</v>
      </c>
    </row>
    <row r="176" spans="1:12" x14ac:dyDescent="0.3">
      <c r="A176" t="s">
        <v>2555</v>
      </c>
      <c r="B176" t="s">
        <v>2855</v>
      </c>
      <c r="C176" t="s">
        <v>189</v>
      </c>
      <c r="D176" t="s">
        <v>237</v>
      </c>
      <c r="E176" t="s">
        <v>1975</v>
      </c>
      <c r="F176" t="s">
        <v>557</v>
      </c>
      <c r="G176" t="s">
        <v>2374</v>
      </c>
      <c r="H176" t="s">
        <v>2374</v>
      </c>
      <c r="I176" t="s">
        <v>2374</v>
      </c>
      <c r="J176" t="str">
        <f>IF(COUNTIF(Table5[Country],Table310[Country])&gt;0,"Y","N")</f>
        <v>Y</v>
      </c>
      <c r="K176">
        <f>IF(Table310[[#This Row],[Adverse Media]]="Y",15,0)+IF(Table310[[#This Row],[PEP]]="Y",50,0)+IF(Table310[[#This Row],[Sanctions]]="Y",70,0)+IF(Table310[[#This Row],[High Risk Country]]="Y",25,0)</f>
        <v>25</v>
      </c>
      <c r="L176" t="str">
        <f>_xlfn.IFS(Table310[[#This Row],[Risk Score]]&gt;=85,"Critical",Table310[[#This Row],[Risk Score]]&gt;=65,"High",Table310[[#This Row],[Risk Score]]&gt;=45,"Medium",TRUE,"Low")</f>
        <v>Low</v>
      </c>
    </row>
    <row r="177" spans="1:12" x14ac:dyDescent="0.3">
      <c r="A177" t="s">
        <v>2556</v>
      </c>
      <c r="B177" t="s">
        <v>2856</v>
      </c>
      <c r="C177" t="s">
        <v>189</v>
      </c>
      <c r="D177" t="s">
        <v>207</v>
      </c>
      <c r="E177" t="s">
        <v>379</v>
      </c>
      <c r="F177" t="s">
        <v>2276</v>
      </c>
      <c r="G177" t="s">
        <v>2374</v>
      </c>
      <c r="H177" t="s">
        <v>2374</v>
      </c>
      <c r="I177" t="s">
        <v>2374</v>
      </c>
      <c r="J177" t="str">
        <f>IF(COUNTIF(Table5[Country],Table310[Country])&gt;0,"Y","N")</f>
        <v>Y</v>
      </c>
      <c r="K177">
        <f>IF(Table310[[#This Row],[Adverse Media]]="Y",15,0)+IF(Table310[[#This Row],[PEP]]="Y",50,0)+IF(Table310[[#This Row],[Sanctions]]="Y",70,0)+IF(Table310[[#This Row],[High Risk Country]]="Y",25,0)</f>
        <v>25</v>
      </c>
      <c r="L177" t="str">
        <f>_xlfn.IFS(Table310[[#This Row],[Risk Score]]&gt;=85,"Critical",Table310[[#This Row],[Risk Score]]&gt;=65,"High",Table310[[#This Row],[Risk Score]]&gt;=45,"Medium",TRUE,"Low")</f>
        <v>Low</v>
      </c>
    </row>
    <row r="178" spans="1:12" x14ac:dyDescent="0.3">
      <c r="A178" t="s">
        <v>2557</v>
      </c>
      <c r="B178" t="s">
        <v>2857</v>
      </c>
      <c r="C178" t="s">
        <v>189</v>
      </c>
      <c r="D178" t="s">
        <v>249</v>
      </c>
      <c r="E178" t="s">
        <v>3368</v>
      </c>
      <c r="F178" t="s">
        <v>3699</v>
      </c>
      <c r="G178" t="s">
        <v>2374</v>
      </c>
      <c r="H178" t="s">
        <v>2374</v>
      </c>
      <c r="I178" t="s">
        <v>2374</v>
      </c>
      <c r="J178" t="str">
        <f>IF(COUNTIF(Table5[Country],Table310[Country])&gt;0,"Y","N")</f>
        <v>N</v>
      </c>
      <c r="K178">
        <f>IF(Table310[[#This Row],[Adverse Media]]="Y",15,0)+IF(Table310[[#This Row],[PEP]]="Y",50,0)+IF(Table310[[#This Row],[Sanctions]]="Y",70,0)+IF(Table310[[#This Row],[High Risk Country]]="Y",25,0)</f>
        <v>0</v>
      </c>
      <c r="L178" t="str">
        <f>_xlfn.IFS(Table310[[#This Row],[Risk Score]]&gt;=85,"Critical",Table310[[#This Row],[Risk Score]]&gt;=65,"High",Table310[[#This Row],[Risk Score]]&gt;=45,"Medium",TRUE,"Low")</f>
        <v>Low</v>
      </c>
    </row>
    <row r="179" spans="1:12" x14ac:dyDescent="0.3">
      <c r="A179" t="s">
        <v>2558</v>
      </c>
      <c r="B179" t="s">
        <v>2858</v>
      </c>
      <c r="C179" t="s">
        <v>189</v>
      </c>
      <c r="D179" t="s">
        <v>216</v>
      </c>
      <c r="E179" t="s">
        <v>3546</v>
      </c>
      <c r="F179" t="s">
        <v>3700</v>
      </c>
      <c r="G179" t="s">
        <v>2374</v>
      </c>
      <c r="H179" t="s">
        <v>2375</v>
      </c>
      <c r="I179" t="s">
        <v>2374</v>
      </c>
      <c r="J179" t="str">
        <f>IF(COUNTIF(Table5[Country],Table310[Country])&gt;0,"Y","N")</f>
        <v>N</v>
      </c>
      <c r="K179">
        <f>IF(Table310[[#This Row],[Adverse Media]]="Y",15,0)+IF(Table310[[#This Row],[PEP]]="Y",50,0)+IF(Table310[[#This Row],[Sanctions]]="Y",70,0)+IF(Table310[[#This Row],[High Risk Country]]="Y",25,0)</f>
        <v>50</v>
      </c>
      <c r="L179" t="str">
        <f>_xlfn.IFS(Table310[[#This Row],[Risk Score]]&gt;=85,"Critical",Table310[[#This Row],[Risk Score]]&gt;=65,"High",Table310[[#This Row],[Risk Score]]&gt;=45,"Medium",TRUE,"Low")</f>
        <v>Medium</v>
      </c>
    </row>
    <row r="180" spans="1:12" x14ac:dyDescent="0.3">
      <c r="A180" t="s">
        <v>2559</v>
      </c>
      <c r="B180" t="s">
        <v>2859</v>
      </c>
      <c r="C180" t="s">
        <v>189</v>
      </c>
      <c r="D180" t="s">
        <v>226</v>
      </c>
      <c r="E180" t="s">
        <v>3547</v>
      </c>
      <c r="F180" t="s">
        <v>3701</v>
      </c>
      <c r="G180" t="s">
        <v>2374</v>
      </c>
      <c r="H180" t="s">
        <v>2374</v>
      </c>
      <c r="I180" t="s">
        <v>2374</v>
      </c>
      <c r="J180" t="str">
        <f>IF(COUNTIF(Table5[Country],Table310[Country])&gt;0,"Y","N")</f>
        <v>N</v>
      </c>
      <c r="K180">
        <f>IF(Table310[[#This Row],[Adverse Media]]="Y",15,0)+IF(Table310[[#This Row],[PEP]]="Y",50,0)+IF(Table310[[#This Row],[Sanctions]]="Y",70,0)+IF(Table310[[#This Row],[High Risk Country]]="Y",25,0)</f>
        <v>0</v>
      </c>
      <c r="L180" t="str">
        <f>_xlfn.IFS(Table310[[#This Row],[Risk Score]]&gt;=85,"Critical",Table310[[#This Row],[Risk Score]]&gt;=65,"High",Table310[[#This Row],[Risk Score]]&gt;=45,"Medium",TRUE,"Low")</f>
        <v>Low</v>
      </c>
    </row>
    <row r="181" spans="1:12" x14ac:dyDescent="0.3">
      <c r="A181" t="s">
        <v>2560</v>
      </c>
      <c r="B181" t="s">
        <v>2860</v>
      </c>
      <c r="C181" t="s">
        <v>189</v>
      </c>
      <c r="D181" t="s">
        <v>205</v>
      </c>
      <c r="E181" t="s">
        <v>3548</v>
      </c>
      <c r="F181" t="s">
        <v>3702</v>
      </c>
      <c r="G181" t="s">
        <v>2374</v>
      </c>
      <c r="H181" t="s">
        <v>2374</v>
      </c>
      <c r="I181" t="s">
        <v>2375</v>
      </c>
      <c r="J181" t="str">
        <f>IF(COUNTIF(Table5[Country],Table310[Country])&gt;0,"Y","N")</f>
        <v>N</v>
      </c>
      <c r="K181">
        <f>IF(Table310[[#This Row],[Adverse Media]]="Y",15,0)+IF(Table310[[#This Row],[PEP]]="Y",50,0)+IF(Table310[[#This Row],[Sanctions]]="Y",70,0)+IF(Table310[[#This Row],[High Risk Country]]="Y",25,0)</f>
        <v>70</v>
      </c>
      <c r="L181" t="str">
        <f>_xlfn.IFS(Table310[[#This Row],[Risk Score]]&gt;=85,"Critical",Table310[[#This Row],[Risk Score]]&gt;=65,"High",Table310[[#This Row],[Risk Score]]&gt;=45,"Medium",TRUE,"Low")</f>
        <v>High</v>
      </c>
    </row>
    <row r="182" spans="1:12" x14ac:dyDescent="0.3">
      <c r="A182" t="s">
        <v>2561</v>
      </c>
      <c r="B182" t="s">
        <v>2861</v>
      </c>
      <c r="C182" t="s">
        <v>189</v>
      </c>
      <c r="D182" t="s">
        <v>198</v>
      </c>
      <c r="E182" t="s">
        <v>2251</v>
      </c>
      <c r="F182" t="s">
        <v>567</v>
      </c>
      <c r="G182" t="s">
        <v>2374</v>
      </c>
      <c r="H182" t="s">
        <v>2375</v>
      </c>
      <c r="I182" t="s">
        <v>2375</v>
      </c>
      <c r="J182" t="str">
        <f>IF(COUNTIF(Table5[Country],Table310[Country])&gt;0,"Y","N")</f>
        <v>N</v>
      </c>
      <c r="K182">
        <f>IF(Table310[[#This Row],[Adverse Media]]="Y",15,0)+IF(Table310[[#This Row],[PEP]]="Y",50,0)+IF(Table310[[#This Row],[Sanctions]]="Y",70,0)+IF(Table310[[#This Row],[High Risk Country]]="Y",25,0)</f>
        <v>120</v>
      </c>
      <c r="L182" t="str">
        <f>_xlfn.IFS(Table310[[#This Row],[Risk Score]]&gt;=85,"Critical",Table310[[#This Row],[Risk Score]]&gt;=65,"High",Table310[[#This Row],[Risk Score]]&gt;=45,"Medium",TRUE,"Low")</f>
        <v>Critical</v>
      </c>
    </row>
    <row r="183" spans="1:12" x14ac:dyDescent="0.3">
      <c r="A183" t="s">
        <v>2562</v>
      </c>
      <c r="B183" t="s">
        <v>2862</v>
      </c>
      <c r="C183" t="s">
        <v>189</v>
      </c>
      <c r="D183" t="s">
        <v>248</v>
      </c>
      <c r="E183" t="s">
        <v>469</v>
      </c>
      <c r="F183" t="s">
        <v>419</v>
      </c>
      <c r="G183" t="s">
        <v>2374</v>
      </c>
      <c r="H183" t="s">
        <v>2375</v>
      </c>
      <c r="I183" t="s">
        <v>2374</v>
      </c>
      <c r="J183" t="str">
        <f>IF(COUNTIF(Table5[Country],Table310[Country])&gt;0,"Y","N")</f>
        <v>N</v>
      </c>
      <c r="K183">
        <f>IF(Table310[[#This Row],[Adverse Media]]="Y",15,0)+IF(Table310[[#This Row],[PEP]]="Y",50,0)+IF(Table310[[#This Row],[Sanctions]]="Y",70,0)+IF(Table310[[#This Row],[High Risk Country]]="Y",25,0)</f>
        <v>50</v>
      </c>
      <c r="L183" t="str">
        <f>_xlfn.IFS(Table310[[#This Row],[Risk Score]]&gt;=85,"Critical",Table310[[#This Row],[Risk Score]]&gt;=65,"High",Table310[[#This Row],[Risk Score]]&gt;=45,"Medium",TRUE,"Low")</f>
        <v>Medium</v>
      </c>
    </row>
    <row r="184" spans="1:12" x14ac:dyDescent="0.3">
      <c r="A184" t="s">
        <v>2563</v>
      </c>
      <c r="B184" t="s">
        <v>2863</v>
      </c>
      <c r="C184" t="s">
        <v>189</v>
      </c>
      <c r="D184" t="s">
        <v>193</v>
      </c>
      <c r="E184" t="s">
        <v>3549</v>
      </c>
      <c r="F184" t="s">
        <v>3703</v>
      </c>
      <c r="G184" t="s">
        <v>2374</v>
      </c>
      <c r="H184" t="s">
        <v>2375</v>
      </c>
      <c r="I184" t="s">
        <v>2374</v>
      </c>
      <c r="J184" t="str">
        <f>IF(COUNTIF(Table5[Country],Table310[Country])&gt;0,"Y","N")</f>
        <v>Y</v>
      </c>
      <c r="K184">
        <f>IF(Table310[[#This Row],[Adverse Media]]="Y",15,0)+IF(Table310[[#This Row],[PEP]]="Y",50,0)+IF(Table310[[#This Row],[Sanctions]]="Y",70,0)+IF(Table310[[#This Row],[High Risk Country]]="Y",25,0)</f>
        <v>75</v>
      </c>
      <c r="L184" t="str">
        <f>_xlfn.IFS(Table310[[#This Row],[Risk Score]]&gt;=85,"Critical",Table310[[#This Row],[Risk Score]]&gt;=65,"High",Table310[[#This Row],[Risk Score]]&gt;=45,"Medium",TRUE,"Low")</f>
        <v>High</v>
      </c>
    </row>
    <row r="185" spans="1:12" x14ac:dyDescent="0.3">
      <c r="A185" t="s">
        <v>2564</v>
      </c>
      <c r="B185" t="s">
        <v>2864</v>
      </c>
      <c r="C185" t="s">
        <v>189</v>
      </c>
      <c r="D185" t="s">
        <v>226</v>
      </c>
      <c r="E185" t="s">
        <v>2329</v>
      </c>
      <c r="F185" t="s">
        <v>3704</v>
      </c>
      <c r="G185" t="s">
        <v>2374</v>
      </c>
      <c r="H185" t="s">
        <v>2374</v>
      </c>
      <c r="I185" t="s">
        <v>2375</v>
      </c>
      <c r="J185" t="str">
        <f>IF(COUNTIF(Table5[Country],Table310[Country])&gt;0,"Y","N")</f>
        <v>N</v>
      </c>
      <c r="K185">
        <f>IF(Table310[[#This Row],[Adverse Media]]="Y",15,0)+IF(Table310[[#This Row],[PEP]]="Y",50,0)+IF(Table310[[#This Row],[Sanctions]]="Y",70,0)+IF(Table310[[#This Row],[High Risk Country]]="Y",25,0)</f>
        <v>70</v>
      </c>
      <c r="L185" t="str">
        <f>_xlfn.IFS(Table310[[#This Row],[Risk Score]]&gt;=85,"Critical",Table310[[#This Row],[Risk Score]]&gt;=65,"High",Table310[[#This Row],[Risk Score]]&gt;=45,"Medium",TRUE,"Low")</f>
        <v>High</v>
      </c>
    </row>
    <row r="186" spans="1:12" x14ac:dyDescent="0.3">
      <c r="A186" t="s">
        <v>2565</v>
      </c>
      <c r="B186" t="s">
        <v>2865</v>
      </c>
      <c r="C186" t="s">
        <v>189</v>
      </c>
      <c r="D186" t="s">
        <v>247</v>
      </c>
      <c r="E186" t="s">
        <v>3550</v>
      </c>
      <c r="F186" t="s">
        <v>3678</v>
      </c>
      <c r="G186" t="s">
        <v>2375</v>
      </c>
      <c r="H186" t="s">
        <v>2374</v>
      </c>
      <c r="I186" t="s">
        <v>2375</v>
      </c>
      <c r="J186" t="str">
        <f>IF(COUNTIF(Table5[Country],Table310[Country])&gt;0,"Y","N")</f>
        <v>Y</v>
      </c>
      <c r="K186">
        <f>IF(Table310[[#This Row],[Adverse Media]]="Y",15,0)+IF(Table310[[#This Row],[PEP]]="Y",50,0)+IF(Table310[[#This Row],[Sanctions]]="Y",70,0)+IF(Table310[[#This Row],[High Risk Country]]="Y",25,0)</f>
        <v>110</v>
      </c>
      <c r="L186" t="str">
        <f>_xlfn.IFS(Table310[[#This Row],[Risk Score]]&gt;=85,"Critical",Table310[[#This Row],[Risk Score]]&gt;=65,"High",Table310[[#This Row],[Risk Score]]&gt;=45,"Medium",TRUE,"Low")</f>
        <v>Critical</v>
      </c>
    </row>
    <row r="187" spans="1:12" x14ac:dyDescent="0.3">
      <c r="A187" t="s">
        <v>2566</v>
      </c>
      <c r="B187" t="s">
        <v>2866</v>
      </c>
      <c r="C187" t="s">
        <v>189</v>
      </c>
      <c r="D187" t="s">
        <v>213</v>
      </c>
      <c r="E187" t="s">
        <v>3551</v>
      </c>
      <c r="F187" t="s">
        <v>388</v>
      </c>
      <c r="G187" t="s">
        <v>2374</v>
      </c>
      <c r="H187" t="s">
        <v>2375</v>
      </c>
      <c r="I187" t="s">
        <v>2375</v>
      </c>
      <c r="J187" t="str">
        <f>IF(COUNTIF(Table5[Country],Table310[Country])&gt;0,"Y","N")</f>
        <v>Y</v>
      </c>
      <c r="K187">
        <f>IF(Table310[[#This Row],[Adverse Media]]="Y",15,0)+IF(Table310[[#This Row],[PEP]]="Y",50,0)+IF(Table310[[#This Row],[Sanctions]]="Y",70,0)+IF(Table310[[#This Row],[High Risk Country]]="Y",25,0)</f>
        <v>145</v>
      </c>
      <c r="L187" t="str">
        <f>_xlfn.IFS(Table310[[#This Row],[Risk Score]]&gt;=85,"Critical",Table310[[#This Row],[Risk Score]]&gt;=65,"High",Table310[[#This Row],[Risk Score]]&gt;=45,"Medium",TRUE,"Low")</f>
        <v>Critical</v>
      </c>
    </row>
    <row r="188" spans="1:12" x14ac:dyDescent="0.3">
      <c r="A188" t="s">
        <v>2567</v>
      </c>
      <c r="B188" t="s">
        <v>2867</v>
      </c>
      <c r="C188" t="s">
        <v>189</v>
      </c>
      <c r="D188" t="s">
        <v>247</v>
      </c>
      <c r="E188" t="s">
        <v>3552</v>
      </c>
      <c r="F188" t="s">
        <v>3705</v>
      </c>
      <c r="G188" t="s">
        <v>2374</v>
      </c>
      <c r="H188" t="s">
        <v>2375</v>
      </c>
      <c r="I188" t="s">
        <v>2375</v>
      </c>
      <c r="J188" t="str">
        <f>IF(COUNTIF(Table5[Country],Table310[Country])&gt;0,"Y","N")</f>
        <v>Y</v>
      </c>
      <c r="K188">
        <f>IF(Table310[[#This Row],[Adverse Media]]="Y",15,0)+IF(Table310[[#This Row],[PEP]]="Y",50,0)+IF(Table310[[#This Row],[Sanctions]]="Y",70,0)+IF(Table310[[#This Row],[High Risk Country]]="Y",25,0)</f>
        <v>145</v>
      </c>
      <c r="L188" t="str">
        <f>_xlfn.IFS(Table310[[#This Row],[Risk Score]]&gt;=85,"Critical",Table310[[#This Row],[Risk Score]]&gt;=65,"High",Table310[[#This Row],[Risk Score]]&gt;=45,"Medium",TRUE,"Low")</f>
        <v>Critical</v>
      </c>
    </row>
    <row r="189" spans="1:12" x14ac:dyDescent="0.3">
      <c r="A189" t="s">
        <v>2568</v>
      </c>
      <c r="B189" t="s">
        <v>2868</v>
      </c>
      <c r="C189" t="s">
        <v>189</v>
      </c>
      <c r="D189" t="s">
        <v>239</v>
      </c>
      <c r="E189" t="s">
        <v>2267</v>
      </c>
      <c r="F189" t="s">
        <v>537</v>
      </c>
      <c r="G189" t="s">
        <v>2375</v>
      </c>
      <c r="H189" t="s">
        <v>2374</v>
      </c>
      <c r="I189" t="s">
        <v>2374</v>
      </c>
      <c r="J189" t="str">
        <f>IF(COUNTIF(Table5[Country],Table310[Country])&gt;0,"Y","N")</f>
        <v>N</v>
      </c>
      <c r="K189">
        <f>IF(Table310[[#This Row],[Adverse Media]]="Y",15,0)+IF(Table310[[#This Row],[PEP]]="Y",50,0)+IF(Table310[[#This Row],[Sanctions]]="Y",70,0)+IF(Table310[[#This Row],[High Risk Country]]="Y",25,0)</f>
        <v>15</v>
      </c>
      <c r="L189" t="str">
        <f>_xlfn.IFS(Table310[[#This Row],[Risk Score]]&gt;=85,"Critical",Table310[[#This Row],[Risk Score]]&gt;=65,"High",Table310[[#This Row],[Risk Score]]&gt;=45,"Medium",TRUE,"Low")</f>
        <v>Low</v>
      </c>
    </row>
    <row r="190" spans="1:12" x14ac:dyDescent="0.3">
      <c r="A190" t="s">
        <v>2569</v>
      </c>
      <c r="B190" t="s">
        <v>2869</v>
      </c>
      <c r="C190" t="s">
        <v>189</v>
      </c>
      <c r="D190" t="s">
        <v>201</v>
      </c>
      <c r="E190" t="s">
        <v>1984</v>
      </c>
      <c r="F190" t="s">
        <v>480</v>
      </c>
      <c r="G190" t="s">
        <v>2375</v>
      </c>
      <c r="H190" t="s">
        <v>2374</v>
      </c>
      <c r="I190" t="s">
        <v>2375</v>
      </c>
      <c r="J190" t="str">
        <f>IF(COUNTIF(Table5[Country],Table310[Country])&gt;0,"Y","N")</f>
        <v>N</v>
      </c>
      <c r="K190">
        <f>IF(Table310[[#This Row],[Adverse Media]]="Y",15,0)+IF(Table310[[#This Row],[PEP]]="Y",50,0)+IF(Table310[[#This Row],[Sanctions]]="Y",70,0)+IF(Table310[[#This Row],[High Risk Country]]="Y",25,0)</f>
        <v>85</v>
      </c>
      <c r="L190" t="str">
        <f>_xlfn.IFS(Table310[[#This Row],[Risk Score]]&gt;=85,"Critical",Table310[[#This Row],[Risk Score]]&gt;=65,"High",Table310[[#This Row],[Risk Score]]&gt;=45,"Medium",TRUE,"Low")</f>
        <v>Critical</v>
      </c>
    </row>
    <row r="191" spans="1:12" x14ac:dyDescent="0.3">
      <c r="A191" t="s">
        <v>2570</v>
      </c>
      <c r="B191" t="s">
        <v>2870</v>
      </c>
      <c r="C191" t="s">
        <v>189</v>
      </c>
      <c r="D191" t="s">
        <v>218</v>
      </c>
      <c r="E191" t="s">
        <v>1860</v>
      </c>
      <c r="F191" t="s">
        <v>543</v>
      </c>
      <c r="G191" t="s">
        <v>2374</v>
      </c>
      <c r="H191" t="s">
        <v>2375</v>
      </c>
      <c r="I191" t="s">
        <v>2375</v>
      </c>
      <c r="J191" t="str">
        <f>IF(COUNTIF(Table5[Country],Table310[Country])&gt;0,"Y","N")</f>
        <v>N</v>
      </c>
      <c r="K191">
        <f>IF(Table310[[#This Row],[Adverse Media]]="Y",15,0)+IF(Table310[[#This Row],[PEP]]="Y",50,0)+IF(Table310[[#This Row],[Sanctions]]="Y",70,0)+IF(Table310[[#This Row],[High Risk Country]]="Y",25,0)</f>
        <v>120</v>
      </c>
      <c r="L191" t="str">
        <f>_xlfn.IFS(Table310[[#This Row],[Risk Score]]&gt;=85,"Critical",Table310[[#This Row],[Risk Score]]&gt;=65,"High",Table310[[#This Row],[Risk Score]]&gt;=45,"Medium",TRUE,"Low")</f>
        <v>Critical</v>
      </c>
    </row>
    <row r="192" spans="1:12" x14ac:dyDescent="0.3">
      <c r="A192" t="s">
        <v>2571</v>
      </c>
      <c r="B192" t="s">
        <v>2871</v>
      </c>
      <c r="C192" t="s">
        <v>189</v>
      </c>
      <c r="D192" t="s">
        <v>244</v>
      </c>
      <c r="E192" t="s">
        <v>516</v>
      </c>
      <c r="F192" t="s">
        <v>3393</v>
      </c>
      <c r="G192" t="s">
        <v>2374</v>
      </c>
      <c r="H192" t="s">
        <v>2375</v>
      </c>
      <c r="I192" t="s">
        <v>2374</v>
      </c>
      <c r="J192" t="str">
        <f>IF(COUNTIF(Table5[Country],Table310[Country])&gt;0,"Y","N")</f>
        <v>Y</v>
      </c>
      <c r="K192">
        <f>IF(Table310[[#This Row],[Adverse Media]]="Y",15,0)+IF(Table310[[#This Row],[PEP]]="Y",50,0)+IF(Table310[[#This Row],[Sanctions]]="Y",70,0)+IF(Table310[[#This Row],[High Risk Country]]="Y",25,0)</f>
        <v>75</v>
      </c>
      <c r="L192" t="str">
        <f>_xlfn.IFS(Table310[[#This Row],[Risk Score]]&gt;=85,"Critical",Table310[[#This Row],[Risk Score]]&gt;=65,"High",Table310[[#This Row],[Risk Score]]&gt;=45,"Medium",TRUE,"Low")</f>
        <v>High</v>
      </c>
    </row>
    <row r="193" spans="1:12" x14ac:dyDescent="0.3">
      <c r="A193" t="s">
        <v>2572</v>
      </c>
      <c r="B193" t="s">
        <v>2872</v>
      </c>
      <c r="C193" t="s">
        <v>189</v>
      </c>
      <c r="D193" t="s">
        <v>203</v>
      </c>
      <c r="E193" t="s">
        <v>3553</v>
      </c>
      <c r="F193" t="s">
        <v>2265</v>
      </c>
      <c r="G193" t="s">
        <v>2375</v>
      </c>
      <c r="H193" t="s">
        <v>2374</v>
      </c>
      <c r="I193" t="s">
        <v>2375</v>
      </c>
      <c r="J193" t="str">
        <f>IF(COUNTIF(Table5[Country],Table310[Country])&gt;0,"Y","N")</f>
        <v>Y</v>
      </c>
      <c r="K193">
        <f>IF(Table310[[#This Row],[Adverse Media]]="Y",15,0)+IF(Table310[[#This Row],[PEP]]="Y",50,0)+IF(Table310[[#This Row],[Sanctions]]="Y",70,0)+IF(Table310[[#This Row],[High Risk Country]]="Y",25,0)</f>
        <v>110</v>
      </c>
      <c r="L193" t="str">
        <f>_xlfn.IFS(Table310[[#This Row],[Risk Score]]&gt;=85,"Critical",Table310[[#This Row],[Risk Score]]&gt;=65,"High",Table310[[#This Row],[Risk Score]]&gt;=45,"Medium",TRUE,"Low")</f>
        <v>Critical</v>
      </c>
    </row>
    <row r="194" spans="1:12" x14ac:dyDescent="0.3">
      <c r="A194" t="s">
        <v>2573</v>
      </c>
      <c r="B194" t="s">
        <v>2873</v>
      </c>
      <c r="C194" t="s">
        <v>189</v>
      </c>
      <c r="D194" t="s">
        <v>229</v>
      </c>
      <c r="E194" t="s">
        <v>1992</v>
      </c>
      <c r="F194" t="s">
        <v>3706</v>
      </c>
      <c r="G194" t="s">
        <v>2374</v>
      </c>
      <c r="H194" t="s">
        <v>2374</v>
      </c>
      <c r="I194" t="s">
        <v>2375</v>
      </c>
      <c r="J194" t="str">
        <f>IF(COUNTIF(Table5[Country],Table310[Country])&gt;0,"Y","N")</f>
        <v>N</v>
      </c>
      <c r="K194">
        <f>IF(Table310[[#This Row],[Adverse Media]]="Y",15,0)+IF(Table310[[#This Row],[PEP]]="Y",50,0)+IF(Table310[[#This Row],[Sanctions]]="Y",70,0)+IF(Table310[[#This Row],[High Risk Country]]="Y",25,0)</f>
        <v>70</v>
      </c>
      <c r="L194" t="str">
        <f>_xlfn.IFS(Table310[[#This Row],[Risk Score]]&gt;=85,"Critical",Table310[[#This Row],[Risk Score]]&gt;=65,"High",Table310[[#This Row],[Risk Score]]&gt;=45,"Medium",TRUE,"Low")</f>
        <v>High</v>
      </c>
    </row>
    <row r="195" spans="1:12" x14ac:dyDescent="0.3">
      <c r="A195" t="s">
        <v>2574</v>
      </c>
      <c r="B195" t="s">
        <v>2874</v>
      </c>
      <c r="C195" t="s">
        <v>189</v>
      </c>
      <c r="D195" t="s">
        <v>231</v>
      </c>
      <c r="E195" t="s">
        <v>3554</v>
      </c>
      <c r="F195" t="s">
        <v>3707</v>
      </c>
      <c r="G195" t="s">
        <v>2374</v>
      </c>
      <c r="H195" t="s">
        <v>2375</v>
      </c>
      <c r="I195" t="s">
        <v>2374</v>
      </c>
      <c r="J195" t="str">
        <f>IF(COUNTIF(Table5[Country],Table310[Country])&gt;0,"Y","N")</f>
        <v>N</v>
      </c>
      <c r="K195">
        <f>IF(Table310[[#This Row],[Adverse Media]]="Y",15,0)+IF(Table310[[#This Row],[PEP]]="Y",50,0)+IF(Table310[[#This Row],[Sanctions]]="Y",70,0)+IF(Table310[[#This Row],[High Risk Country]]="Y",25,0)</f>
        <v>50</v>
      </c>
      <c r="L195" t="str">
        <f>_xlfn.IFS(Table310[[#This Row],[Risk Score]]&gt;=85,"Critical",Table310[[#This Row],[Risk Score]]&gt;=65,"High",Table310[[#This Row],[Risk Score]]&gt;=45,"Medium",TRUE,"Low")</f>
        <v>Medium</v>
      </c>
    </row>
    <row r="196" spans="1:12" x14ac:dyDescent="0.3">
      <c r="A196" t="s">
        <v>2575</v>
      </c>
      <c r="B196" t="s">
        <v>2875</v>
      </c>
      <c r="C196" t="s">
        <v>189</v>
      </c>
      <c r="D196" t="s">
        <v>242</v>
      </c>
      <c r="E196" t="s">
        <v>515</v>
      </c>
      <c r="F196" t="s">
        <v>3374</v>
      </c>
      <c r="G196" t="s">
        <v>2374</v>
      </c>
      <c r="H196" t="s">
        <v>2375</v>
      </c>
      <c r="I196" t="s">
        <v>2375</v>
      </c>
      <c r="J196" t="str">
        <f>IF(COUNTIF(Table5[Country],Table310[Country])&gt;0,"Y","N")</f>
        <v>N</v>
      </c>
      <c r="K196">
        <f>IF(Table310[[#This Row],[Adverse Media]]="Y",15,0)+IF(Table310[[#This Row],[PEP]]="Y",50,0)+IF(Table310[[#This Row],[Sanctions]]="Y",70,0)+IF(Table310[[#This Row],[High Risk Country]]="Y",25,0)</f>
        <v>120</v>
      </c>
      <c r="L196" t="str">
        <f>_xlfn.IFS(Table310[[#This Row],[Risk Score]]&gt;=85,"Critical",Table310[[#This Row],[Risk Score]]&gt;=65,"High",Table310[[#This Row],[Risk Score]]&gt;=45,"Medium",TRUE,"Low")</f>
        <v>Critical</v>
      </c>
    </row>
    <row r="197" spans="1:12" x14ac:dyDescent="0.3">
      <c r="A197" t="s">
        <v>2576</v>
      </c>
      <c r="B197" t="s">
        <v>2876</v>
      </c>
      <c r="C197" t="s">
        <v>189</v>
      </c>
      <c r="D197" t="s">
        <v>236</v>
      </c>
      <c r="E197" t="s">
        <v>3555</v>
      </c>
      <c r="F197" t="s">
        <v>614</v>
      </c>
      <c r="G197" t="s">
        <v>2375</v>
      </c>
      <c r="H197" t="s">
        <v>2375</v>
      </c>
      <c r="I197" t="s">
        <v>2375</v>
      </c>
      <c r="J197" t="str">
        <f>IF(COUNTIF(Table5[Country],Table310[Country])&gt;0,"Y","N")</f>
        <v>Y</v>
      </c>
      <c r="K197">
        <f>IF(Table310[[#This Row],[Adverse Media]]="Y",15,0)+IF(Table310[[#This Row],[PEP]]="Y",50,0)+IF(Table310[[#This Row],[Sanctions]]="Y",70,0)+IF(Table310[[#This Row],[High Risk Country]]="Y",25,0)</f>
        <v>160</v>
      </c>
      <c r="L197" t="str">
        <f>_xlfn.IFS(Table310[[#This Row],[Risk Score]]&gt;=85,"Critical",Table310[[#This Row],[Risk Score]]&gt;=65,"High",Table310[[#This Row],[Risk Score]]&gt;=45,"Medium",TRUE,"Low")</f>
        <v>Critical</v>
      </c>
    </row>
    <row r="198" spans="1:12" x14ac:dyDescent="0.3">
      <c r="A198" t="s">
        <v>2577</v>
      </c>
      <c r="B198" t="s">
        <v>2877</v>
      </c>
      <c r="C198" t="s">
        <v>189</v>
      </c>
      <c r="D198" t="s">
        <v>230</v>
      </c>
      <c r="E198" t="s">
        <v>3556</v>
      </c>
      <c r="F198" t="s">
        <v>2312</v>
      </c>
      <c r="G198" t="s">
        <v>2375</v>
      </c>
      <c r="H198" t="s">
        <v>2375</v>
      </c>
      <c r="I198" t="s">
        <v>2375</v>
      </c>
      <c r="J198" t="str">
        <f>IF(COUNTIF(Table5[Country],Table310[Country])&gt;0,"Y","N")</f>
        <v>N</v>
      </c>
      <c r="K198">
        <f>IF(Table310[[#This Row],[Adverse Media]]="Y",15,0)+IF(Table310[[#This Row],[PEP]]="Y",50,0)+IF(Table310[[#This Row],[Sanctions]]="Y",70,0)+IF(Table310[[#This Row],[High Risk Country]]="Y",25,0)</f>
        <v>135</v>
      </c>
      <c r="L198" t="str">
        <f>_xlfn.IFS(Table310[[#This Row],[Risk Score]]&gt;=85,"Critical",Table310[[#This Row],[Risk Score]]&gt;=65,"High",Table310[[#This Row],[Risk Score]]&gt;=45,"Medium",TRUE,"Low")</f>
        <v>Critical</v>
      </c>
    </row>
    <row r="199" spans="1:12" x14ac:dyDescent="0.3">
      <c r="A199" t="s">
        <v>2578</v>
      </c>
      <c r="B199" t="s">
        <v>2878</v>
      </c>
      <c r="C199" t="s">
        <v>189</v>
      </c>
      <c r="D199" t="s">
        <v>219</v>
      </c>
      <c r="E199" t="s">
        <v>2360</v>
      </c>
      <c r="F199" t="s">
        <v>3708</v>
      </c>
      <c r="G199" t="s">
        <v>2374</v>
      </c>
      <c r="H199" t="s">
        <v>2375</v>
      </c>
      <c r="I199" t="s">
        <v>2374</v>
      </c>
      <c r="J199" t="str">
        <f>IF(COUNTIF(Table5[Country],Table310[Country])&gt;0,"Y","N")</f>
        <v>Y</v>
      </c>
      <c r="K199">
        <f>IF(Table310[[#This Row],[Adverse Media]]="Y",15,0)+IF(Table310[[#This Row],[PEP]]="Y",50,0)+IF(Table310[[#This Row],[Sanctions]]="Y",70,0)+IF(Table310[[#This Row],[High Risk Country]]="Y",25,0)</f>
        <v>75</v>
      </c>
      <c r="L199" t="str">
        <f>_xlfn.IFS(Table310[[#This Row],[Risk Score]]&gt;=85,"Critical",Table310[[#This Row],[Risk Score]]&gt;=65,"High",Table310[[#This Row],[Risk Score]]&gt;=45,"Medium",TRUE,"Low")</f>
        <v>High</v>
      </c>
    </row>
    <row r="200" spans="1:12" x14ac:dyDescent="0.3">
      <c r="A200" t="s">
        <v>2579</v>
      </c>
      <c r="B200" t="s">
        <v>2879</v>
      </c>
      <c r="C200" t="s">
        <v>189</v>
      </c>
      <c r="D200" t="s">
        <v>248</v>
      </c>
      <c r="E200" t="s">
        <v>3452</v>
      </c>
      <c r="F200" t="s">
        <v>3709</v>
      </c>
      <c r="G200" t="s">
        <v>2374</v>
      </c>
      <c r="H200" t="s">
        <v>2374</v>
      </c>
      <c r="I200" t="s">
        <v>2374</v>
      </c>
      <c r="J200" t="str">
        <f>IF(COUNTIF(Table5[Country],Table310[Country])&gt;0,"Y","N")</f>
        <v>N</v>
      </c>
      <c r="K200">
        <f>IF(Table310[[#This Row],[Adverse Media]]="Y",15,0)+IF(Table310[[#This Row],[PEP]]="Y",50,0)+IF(Table310[[#This Row],[Sanctions]]="Y",70,0)+IF(Table310[[#This Row],[High Risk Country]]="Y",25,0)</f>
        <v>0</v>
      </c>
      <c r="L200" t="str">
        <f>_xlfn.IFS(Table310[[#This Row],[Risk Score]]&gt;=85,"Critical",Table310[[#This Row],[Risk Score]]&gt;=65,"High",Table310[[#This Row],[Risk Score]]&gt;=45,"Medium",TRUE,"Low")</f>
        <v>Low</v>
      </c>
    </row>
    <row r="201" spans="1:12" x14ac:dyDescent="0.3">
      <c r="A201" t="s">
        <v>2580</v>
      </c>
      <c r="B201" t="s">
        <v>2880</v>
      </c>
      <c r="C201" t="s">
        <v>189</v>
      </c>
      <c r="D201" t="s">
        <v>208</v>
      </c>
      <c r="E201" t="s">
        <v>3557</v>
      </c>
      <c r="F201" t="s">
        <v>3710</v>
      </c>
      <c r="G201" t="s">
        <v>2374</v>
      </c>
      <c r="H201" t="s">
        <v>2374</v>
      </c>
      <c r="I201" t="s">
        <v>2375</v>
      </c>
      <c r="J201" t="str">
        <f>IF(COUNTIF(Table5[Country],Table310[Country])&gt;0,"Y","N")</f>
        <v>Y</v>
      </c>
      <c r="K201">
        <f>IF(Table310[[#This Row],[Adverse Media]]="Y",15,0)+IF(Table310[[#This Row],[PEP]]="Y",50,0)+IF(Table310[[#This Row],[Sanctions]]="Y",70,0)+IF(Table310[[#This Row],[High Risk Country]]="Y",25,0)</f>
        <v>95</v>
      </c>
      <c r="L201" t="str">
        <f>_xlfn.IFS(Table310[[#This Row],[Risk Score]]&gt;=85,"Critical",Table310[[#This Row],[Risk Score]]&gt;=65,"High",Table310[[#This Row],[Risk Score]]&gt;=45,"Medium",TRUE,"Low")</f>
        <v>Critical</v>
      </c>
    </row>
    <row r="202" spans="1:12" x14ac:dyDescent="0.3">
      <c r="A202" t="s">
        <v>2581</v>
      </c>
      <c r="B202" t="s">
        <v>2881</v>
      </c>
      <c r="C202" t="s">
        <v>189</v>
      </c>
      <c r="D202" t="s">
        <v>205</v>
      </c>
      <c r="E202" t="s">
        <v>3558</v>
      </c>
      <c r="F202" t="s">
        <v>3711</v>
      </c>
      <c r="G202" t="s">
        <v>2375</v>
      </c>
      <c r="H202" t="s">
        <v>2374</v>
      </c>
      <c r="I202" t="s">
        <v>2374</v>
      </c>
      <c r="J202" t="str">
        <f>IF(COUNTIF(Table5[Country],Table310[Country])&gt;0,"Y","N")</f>
        <v>N</v>
      </c>
      <c r="K202">
        <f>IF(Table310[[#This Row],[Adverse Media]]="Y",15,0)+IF(Table310[[#This Row],[PEP]]="Y",50,0)+IF(Table310[[#This Row],[Sanctions]]="Y",70,0)+IF(Table310[[#This Row],[High Risk Country]]="Y",25,0)</f>
        <v>15</v>
      </c>
      <c r="L202" t="str">
        <f>_xlfn.IFS(Table310[[#This Row],[Risk Score]]&gt;=85,"Critical",Table310[[#This Row],[Risk Score]]&gt;=65,"High",Table310[[#This Row],[Risk Score]]&gt;=45,"Medium",TRUE,"Low")</f>
        <v>Low</v>
      </c>
    </row>
    <row r="203" spans="1:12" x14ac:dyDescent="0.3">
      <c r="A203" t="s">
        <v>2582</v>
      </c>
      <c r="B203" t="s">
        <v>2882</v>
      </c>
      <c r="C203" t="s">
        <v>189</v>
      </c>
      <c r="D203" t="s">
        <v>191</v>
      </c>
      <c r="E203" t="s">
        <v>3559</v>
      </c>
      <c r="F203" t="s">
        <v>3712</v>
      </c>
      <c r="G203" t="s">
        <v>2375</v>
      </c>
      <c r="H203" t="s">
        <v>2375</v>
      </c>
      <c r="I203" t="s">
        <v>2375</v>
      </c>
      <c r="J203" t="str">
        <f>IF(COUNTIF(Table5[Country],Table310[Country])&gt;0,"Y","N")</f>
        <v>N</v>
      </c>
      <c r="K203">
        <f>IF(Table310[[#This Row],[Adverse Media]]="Y",15,0)+IF(Table310[[#This Row],[PEP]]="Y",50,0)+IF(Table310[[#This Row],[Sanctions]]="Y",70,0)+IF(Table310[[#This Row],[High Risk Country]]="Y",25,0)</f>
        <v>135</v>
      </c>
      <c r="L203" t="str">
        <f>_xlfn.IFS(Table310[[#This Row],[Risk Score]]&gt;=85,"Critical",Table310[[#This Row],[Risk Score]]&gt;=65,"High",Table310[[#This Row],[Risk Score]]&gt;=45,"Medium",TRUE,"Low")</f>
        <v>Critical</v>
      </c>
    </row>
    <row r="204" spans="1:12" x14ac:dyDescent="0.3">
      <c r="A204" t="s">
        <v>2583</v>
      </c>
      <c r="B204" t="s">
        <v>2883</v>
      </c>
      <c r="C204" t="s">
        <v>189</v>
      </c>
      <c r="D204" t="s">
        <v>209</v>
      </c>
      <c r="E204" t="s">
        <v>3560</v>
      </c>
      <c r="F204" t="s">
        <v>367</v>
      </c>
      <c r="G204" t="s">
        <v>2374</v>
      </c>
      <c r="H204" t="s">
        <v>2374</v>
      </c>
      <c r="I204" t="s">
        <v>2374</v>
      </c>
      <c r="J204" t="str">
        <f>IF(COUNTIF(Table5[Country],Table310[Country])&gt;0,"Y","N")</f>
        <v>N</v>
      </c>
      <c r="K204">
        <f>IF(Table310[[#This Row],[Adverse Media]]="Y",15,0)+IF(Table310[[#This Row],[PEP]]="Y",50,0)+IF(Table310[[#This Row],[Sanctions]]="Y",70,0)+IF(Table310[[#This Row],[High Risk Country]]="Y",25,0)</f>
        <v>0</v>
      </c>
      <c r="L204" t="str">
        <f>_xlfn.IFS(Table310[[#This Row],[Risk Score]]&gt;=85,"Critical",Table310[[#This Row],[Risk Score]]&gt;=65,"High",Table310[[#This Row],[Risk Score]]&gt;=45,"Medium",TRUE,"Low")</f>
        <v>Low</v>
      </c>
    </row>
    <row r="205" spans="1:12" x14ac:dyDescent="0.3">
      <c r="A205" t="s">
        <v>2584</v>
      </c>
      <c r="B205" t="s">
        <v>2884</v>
      </c>
      <c r="C205" t="s">
        <v>189</v>
      </c>
      <c r="D205" t="s">
        <v>193</v>
      </c>
      <c r="E205" t="s">
        <v>3561</v>
      </c>
      <c r="F205" t="s">
        <v>3713</v>
      </c>
      <c r="G205" t="s">
        <v>2374</v>
      </c>
      <c r="H205" t="s">
        <v>2375</v>
      </c>
      <c r="I205" t="s">
        <v>2375</v>
      </c>
      <c r="J205" t="str">
        <f>IF(COUNTIF(Table5[Country],Table310[Country])&gt;0,"Y","N")</f>
        <v>Y</v>
      </c>
      <c r="K205">
        <f>IF(Table310[[#This Row],[Adverse Media]]="Y",15,0)+IF(Table310[[#This Row],[PEP]]="Y",50,0)+IF(Table310[[#This Row],[Sanctions]]="Y",70,0)+IF(Table310[[#This Row],[High Risk Country]]="Y",25,0)</f>
        <v>145</v>
      </c>
      <c r="L205" t="str">
        <f>_xlfn.IFS(Table310[[#This Row],[Risk Score]]&gt;=85,"Critical",Table310[[#This Row],[Risk Score]]&gt;=65,"High",Table310[[#This Row],[Risk Score]]&gt;=45,"Medium",TRUE,"Low")</f>
        <v>Critical</v>
      </c>
    </row>
    <row r="206" spans="1:12" x14ac:dyDescent="0.3">
      <c r="A206" t="s">
        <v>2585</v>
      </c>
      <c r="B206" t="s">
        <v>2885</v>
      </c>
      <c r="C206" t="s">
        <v>189</v>
      </c>
      <c r="D206" t="s">
        <v>198</v>
      </c>
      <c r="E206" t="s">
        <v>629</v>
      </c>
      <c r="F206" t="s">
        <v>2035</v>
      </c>
      <c r="G206" t="s">
        <v>2374</v>
      </c>
      <c r="H206" t="s">
        <v>2375</v>
      </c>
      <c r="I206" t="s">
        <v>2375</v>
      </c>
      <c r="J206" t="str">
        <f>IF(COUNTIF(Table5[Country],Table310[Country])&gt;0,"Y","N")</f>
        <v>N</v>
      </c>
      <c r="K206">
        <f>IF(Table310[[#This Row],[Adverse Media]]="Y",15,0)+IF(Table310[[#This Row],[PEP]]="Y",50,0)+IF(Table310[[#This Row],[Sanctions]]="Y",70,0)+IF(Table310[[#This Row],[High Risk Country]]="Y",25,0)</f>
        <v>120</v>
      </c>
      <c r="L206" t="str">
        <f>_xlfn.IFS(Table310[[#This Row],[Risk Score]]&gt;=85,"Critical",Table310[[#This Row],[Risk Score]]&gt;=65,"High",Table310[[#This Row],[Risk Score]]&gt;=45,"Medium",TRUE,"Low")</f>
        <v>Critical</v>
      </c>
    </row>
    <row r="207" spans="1:12" x14ac:dyDescent="0.3">
      <c r="A207" t="s">
        <v>2586</v>
      </c>
      <c r="B207" t="s">
        <v>2886</v>
      </c>
      <c r="C207" t="s">
        <v>189</v>
      </c>
      <c r="D207" t="s">
        <v>242</v>
      </c>
      <c r="E207" t="s">
        <v>3518</v>
      </c>
      <c r="F207" t="s">
        <v>3714</v>
      </c>
      <c r="G207" t="s">
        <v>2375</v>
      </c>
      <c r="H207" t="s">
        <v>2374</v>
      </c>
      <c r="I207" t="s">
        <v>2375</v>
      </c>
      <c r="J207" t="str">
        <f>IF(COUNTIF(Table5[Country],Table310[Country])&gt;0,"Y","N")</f>
        <v>N</v>
      </c>
      <c r="K207">
        <f>IF(Table310[[#This Row],[Adverse Media]]="Y",15,0)+IF(Table310[[#This Row],[PEP]]="Y",50,0)+IF(Table310[[#This Row],[Sanctions]]="Y",70,0)+IF(Table310[[#This Row],[High Risk Country]]="Y",25,0)</f>
        <v>85</v>
      </c>
      <c r="L207" t="str">
        <f>_xlfn.IFS(Table310[[#This Row],[Risk Score]]&gt;=85,"Critical",Table310[[#This Row],[Risk Score]]&gt;=65,"High",Table310[[#This Row],[Risk Score]]&gt;=45,"Medium",TRUE,"Low")</f>
        <v>Critical</v>
      </c>
    </row>
    <row r="208" spans="1:12" x14ac:dyDescent="0.3">
      <c r="A208" t="s">
        <v>2587</v>
      </c>
      <c r="B208" t="s">
        <v>2887</v>
      </c>
      <c r="C208" t="s">
        <v>189</v>
      </c>
      <c r="D208" t="s">
        <v>197</v>
      </c>
      <c r="E208" t="s">
        <v>387</v>
      </c>
      <c r="F208" t="s">
        <v>3616</v>
      </c>
      <c r="G208" t="s">
        <v>2375</v>
      </c>
      <c r="H208" t="s">
        <v>2375</v>
      </c>
      <c r="I208" t="s">
        <v>2375</v>
      </c>
      <c r="J208" t="str">
        <f>IF(COUNTIF(Table5[Country],Table310[Country])&gt;0,"Y","N")</f>
        <v>Y</v>
      </c>
      <c r="K208">
        <f>IF(Table310[[#This Row],[Adverse Media]]="Y",15,0)+IF(Table310[[#This Row],[PEP]]="Y",50,0)+IF(Table310[[#This Row],[Sanctions]]="Y",70,0)+IF(Table310[[#This Row],[High Risk Country]]="Y",25,0)</f>
        <v>160</v>
      </c>
      <c r="L208" t="str">
        <f>_xlfn.IFS(Table310[[#This Row],[Risk Score]]&gt;=85,"Critical",Table310[[#This Row],[Risk Score]]&gt;=65,"High",Table310[[#This Row],[Risk Score]]&gt;=45,"Medium",TRUE,"Low")</f>
        <v>Critical</v>
      </c>
    </row>
    <row r="209" spans="1:12" x14ac:dyDescent="0.3">
      <c r="A209" t="s">
        <v>2588</v>
      </c>
      <c r="B209" t="s">
        <v>2888</v>
      </c>
      <c r="C209" t="s">
        <v>189</v>
      </c>
      <c r="D209" t="s">
        <v>190</v>
      </c>
      <c r="E209" t="s">
        <v>3562</v>
      </c>
      <c r="F209" t="s">
        <v>3652</v>
      </c>
      <c r="G209" t="s">
        <v>2375</v>
      </c>
      <c r="H209" t="s">
        <v>2374</v>
      </c>
      <c r="I209" t="s">
        <v>2374</v>
      </c>
      <c r="J209" t="str">
        <f>IF(COUNTIF(Table5[Country],Table310[Country])&gt;0,"Y","N")</f>
        <v>N</v>
      </c>
      <c r="K209">
        <f>IF(Table310[[#This Row],[Adverse Media]]="Y",15,0)+IF(Table310[[#This Row],[PEP]]="Y",50,0)+IF(Table310[[#This Row],[Sanctions]]="Y",70,0)+IF(Table310[[#This Row],[High Risk Country]]="Y",25,0)</f>
        <v>15</v>
      </c>
      <c r="L209" t="str">
        <f>_xlfn.IFS(Table310[[#This Row],[Risk Score]]&gt;=85,"Critical",Table310[[#This Row],[Risk Score]]&gt;=65,"High",Table310[[#This Row],[Risk Score]]&gt;=45,"Medium",TRUE,"Low")</f>
        <v>Low</v>
      </c>
    </row>
    <row r="210" spans="1:12" x14ac:dyDescent="0.3">
      <c r="A210" t="s">
        <v>2589</v>
      </c>
      <c r="B210" t="s">
        <v>2889</v>
      </c>
      <c r="C210" t="s">
        <v>189</v>
      </c>
      <c r="D210" t="s">
        <v>230</v>
      </c>
      <c r="E210" t="s">
        <v>3563</v>
      </c>
      <c r="F210" t="s">
        <v>416</v>
      </c>
      <c r="G210" t="s">
        <v>2374</v>
      </c>
      <c r="H210" t="s">
        <v>2375</v>
      </c>
      <c r="I210" t="s">
        <v>2375</v>
      </c>
      <c r="J210" t="str">
        <f>IF(COUNTIF(Table5[Country],Table310[Country])&gt;0,"Y","N")</f>
        <v>N</v>
      </c>
      <c r="K210">
        <f>IF(Table310[[#This Row],[Adverse Media]]="Y",15,0)+IF(Table310[[#This Row],[PEP]]="Y",50,0)+IF(Table310[[#This Row],[Sanctions]]="Y",70,0)+IF(Table310[[#This Row],[High Risk Country]]="Y",25,0)</f>
        <v>120</v>
      </c>
      <c r="L210" t="str">
        <f>_xlfn.IFS(Table310[[#This Row],[Risk Score]]&gt;=85,"Critical",Table310[[#This Row],[Risk Score]]&gt;=65,"High",Table310[[#This Row],[Risk Score]]&gt;=45,"Medium",TRUE,"Low")</f>
        <v>Critical</v>
      </c>
    </row>
    <row r="211" spans="1:12" x14ac:dyDescent="0.3">
      <c r="A211" t="s">
        <v>2590</v>
      </c>
      <c r="B211" t="s">
        <v>2890</v>
      </c>
      <c r="C211" t="s">
        <v>189</v>
      </c>
      <c r="D211" t="s">
        <v>213</v>
      </c>
      <c r="E211" t="s">
        <v>2277</v>
      </c>
      <c r="F211" t="s">
        <v>3715</v>
      </c>
      <c r="G211" t="s">
        <v>2374</v>
      </c>
      <c r="H211" t="s">
        <v>2374</v>
      </c>
      <c r="I211" t="s">
        <v>2375</v>
      </c>
      <c r="J211" t="str">
        <f>IF(COUNTIF(Table5[Country],Table310[Country])&gt;0,"Y","N")</f>
        <v>Y</v>
      </c>
      <c r="K211">
        <f>IF(Table310[[#This Row],[Adverse Media]]="Y",15,0)+IF(Table310[[#This Row],[PEP]]="Y",50,0)+IF(Table310[[#This Row],[Sanctions]]="Y",70,0)+IF(Table310[[#This Row],[High Risk Country]]="Y",25,0)</f>
        <v>95</v>
      </c>
      <c r="L211" t="str">
        <f>_xlfn.IFS(Table310[[#This Row],[Risk Score]]&gt;=85,"Critical",Table310[[#This Row],[Risk Score]]&gt;=65,"High",Table310[[#This Row],[Risk Score]]&gt;=45,"Medium",TRUE,"Low")</f>
        <v>Critical</v>
      </c>
    </row>
    <row r="212" spans="1:12" x14ac:dyDescent="0.3">
      <c r="A212" t="s">
        <v>2591</v>
      </c>
      <c r="B212" t="s">
        <v>2891</v>
      </c>
      <c r="C212" t="s">
        <v>189</v>
      </c>
      <c r="D212" t="s">
        <v>193</v>
      </c>
      <c r="E212" t="s">
        <v>3564</v>
      </c>
      <c r="F212" t="s">
        <v>3408</v>
      </c>
      <c r="G212" t="s">
        <v>2375</v>
      </c>
      <c r="H212" t="s">
        <v>2374</v>
      </c>
      <c r="I212" t="s">
        <v>2374</v>
      </c>
      <c r="J212" t="str">
        <f>IF(COUNTIF(Table5[Country],Table310[Country])&gt;0,"Y","N")</f>
        <v>Y</v>
      </c>
      <c r="K212">
        <f>IF(Table310[[#This Row],[Adverse Media]]="Y",15,0)+IF(Table310[[#This Row],[PEP]]="Y",50,0)+IF(Table310[[#This Row],[Sanctions]]="Y",70,0)+IF(Table310[[#This Row],[High Risk Country]]="Y",25,0)</f>
        <v>40</v>
      </c>
      <c r="L212" t="str">
        <f>_xlfn.IFS(Table310[[#This Row],[Risk Score]]&gt;=85,"Critical",Table310[[#This Row],[Risk Score]]&gt;=65,"High",Table310[[#This Row],[Risk Score]]&gt;=45,"Medium",TRUE,"Low")</f>
        <v>Low</v>
      </c>
    </row>
    <row r="213" spans="1:12" x14ac:dyDescent="0.3">
      <c r="A213" t="s">
        <v>2592</v>
      </c>
      <c r="B213" t="s">
        <v>2892</v>
      </c>
      <c r="C213" t="s">
        <v>189</v>
      </c>
      <c r="D213" t="s">
        <v>191</v>
      </c>
      <c r="E213" t="s">
        <v>3565</v>
      </c>
      <c r="F213" t="s">
        <v>486</v>
      </c>
      <c r="G213" t="s">
        <v>2375</v>
      </c>
      <c r="H213" t="s">
        <v>2374</v>
      </c>
      <c r="I213" t="s">
        <v>2374</v>
      </c>
      <c r="J213" t="str">
        <f>IF(COUNTIF(Table5[Country],Table310[Country])&gt;0,"Y","N")</f>
        <v>N</v>
      </c>
      <c r="K213">
        <f>IF(Table310[[#This Row],[Adverse Media]]="Y",15,0)+IF(Table310[[#This Row],[PEP]]="Y",50,0)+IF(Table310[[#This Row],[Sanctions]]="Y",70,0)+IF(Table310[[#This Row],[High Risk Country]]="Y",25,0)</f>
        <v>15</v>
      </c>
      <c r="L213" t="str">
        <f>_xlfn.IFS(Table310[[#This Row],[Risk Score]]&gt;=85,"Critical",Table310[[#This Row],[Risk Score]]&gt;=65,"High",Table310[[#This Row],[Risk Score]]&gt;=45,"Medium",TRUE,"Low")</f>
        <v>Low</v>
      </c>
    </row>
    <row r="214" spans="1:12" x14ac:dyDescent="0.3">
      <c r="A214" t="s">
        <v>2593</v>
      </c>
      <c r="B214" t="s">
        <v>2893</v>
      </c>
      <c r="C214" t="s">
        <v>189</v>
      </c>
      <c r="D214" t="s">
        <v>231</v>
      </c>
      <c r="E214" t="s">
        <v>2252</v>
      </c>
      <c r="F214" t="s">
        <v>3716</v>
      </c>
      <c r="G214" t="s">
        <v>2375</v>
      </c>
      <c r="H214" t="s">
        <v>2375</v>
      </c>
      <c r="I214" t="s">
        <v>2375</v>
      </c>
      <c r="J214" t="str">
        <f>IF(COUNTIF(Table5[Country],Table310[Country])&gt;0,"Y","N")</f>
        <v>N</v>
      </c>
      <c r="K214">
        <f>IF(Table310[[#This Row],[Adverse Media]]="Y",15,0)+IF(Table310[[#This Row],[PEP]]="Y",50,0)+IF(Table310[[#This Row],[Sanctions]]="Y",70,0)+IF(Table310[[#This Row],[High Risk Country]]="Y",25,0)</f>
        <v>135</v>
      </c>
      <c r="L214" t="str">
        <f>_xlfn.IFS(Table310[[#This Row],[Risk Score]]&gt;=85,"Critical",Table310[[#This Row],[Risk Score]]&gt;=65,"High",Table310[[#This Row],[Risk Score]]&gt;=45,"Medium",TRUE,"Low")</f>
        <v>Critical</v>
      </c>
    </row>
    <row r="215" spans="1:12" x14ac:dyDescent="0.3">
      <c r="A215" t="s">
        <v>2594</v>
      </c>
      <c r="B215" t="s">
        <v>2894</v>
      </c>
      <c r="C215" t="s">
        <v>189</v>
      </c>
      <c r="D215" t="s">
        <v>249</v>
      </c>
      <c r="E215" t="s">
        <v>3566</v>
      </c>
      <c r="F215" t="s">
        <v>2315</v>
      </c>
      <c r="G215" t="s">
        <v>2375</v>
      </c>
      <c r="H215" t="s">
        <v>2374</v>
      </c>
      <c r="I215" t="s">
        <v>2375</v>
      </c>
      <c r="J215" t="str">
        <f>IF(COUNTIF(Table5[Country],Table310[Country])&gt;0,"Y","N")</f>
        <v>N</v>
      </c>
      <c r="K215">
        <f>IF(Table310[[#This Row],[Adverse Media]]="Y",15,0)+IF(Table310[[#This Row],[PEP]]="Y",50,0)+IF(Table310[[#This Row],[Sanctions]]="Y",70,0)+IF(Table310[[#This Row],[High Risk Country]]="Y",25,0)</f>
        <v>85</v>
      </c>
      <c r="L215" t="str">
        <f>_xlfn.IFS(Table310[[#This Row],[Risk Score]]&gt;=85,"Critical",Table310[[#This Row],[Risk Score]]&gt;=65,"High",Table310[[#This Row],[Risk Score]]&gt;=45,"Medium",TRUE,"Low")</f>
        <v>Critical</v>
      </c>
    </row>
    <row r="216" spans="1:12" x14ac:dyDescent="0.3">
      <c r="A216" t="s">
        <v>2595</v>
      </c>
      <c r="B216" t="s">
        <v>2895</v>
      </c>
      <c r="C216" t="s">
        <v>189</v>
      </c>
      <c r="D216" t="s">
        <v>202</v>
      </c>
      <c r="E216" t="s">
        <v>3567</v>
      </c>
      <c r="F216" t="s">
        <v>404</v>
      </c>
      <c r="G216" t="s">
        <v>2375</v>
      </c>
      <c r="H216" t="s">
        <v>2375</v>
      </c>
      <c r="I216" t="s">
        <v>2375</v>
      </c>
      <c r="J216" t="str">
        <f>IF(COUNTIF(Table5[Country],Table310[Country])&gt;0,"Y","N")</f>
        <v>N</v>
      </c>
      <c r="K216">
        <f>IF(Table310[[#This Row],[Adverse Media]]="Y",15,0)+IF(Table310[[#This Row],[PEP]]="Y",50,0)+IF(Table310[[#This Row],[Sanctions]]="Y",70,0)+IF(Table310[[#This Row],[High Risk Country]]="Y",25,0)</f>
        <v>135</v>
      </c>
      <c r="L216" t="str">
        <f>_xlfn.IFS(Table310[[#This Row],[Risk Score]]&gt;=85,"Critical",Table310[[#This Row],[Risk Score]]&gt;=65,"High",Table310[[#This Row],[Risk Score]]&gt;=45,"Medium",TRUE,"Low")</f>
        <v>Critical</v>
      </c>
    </row>
    <row r="217" spans="1:12" x14ac:dyDescent="0.3">
      <c r="A217" t="s">
        <v>2596</v>
      </c>
      <c r="B217" t="s">
        <v>2896</v>
      </c>
      <c r="C217" t="s">
        <v>189</v>
      </c>
      <c r="D217" t="s">
        <v>218</v>
      </c>
      <c r="E217" t="s">
        <v>1908</v>
      </c>
      <c r="F217" t="s">
        <v>676</v>
      </c>
      <c r="G217" t="s">
        <v>2374</v>
      </c>
      <c r="H217" t="s">
        <v>2374</v>
      </c>
      <c r="I217" t="s">
        <v>2374</v>
      </c>
      <c r="J217" t="str">
        <f>IF(COUNTIF(Table5[Country],Table310[Country])&gt;0,"Y","N")</f>
        <v>N</v>
      </c>
      <c r="K217">
        <f>IF(Table310[[#This Row],[Adverse Media]]="Y",15,0)+IF(Table310[[#This Row],[PEP]]="Y",50,0)+IF(Table310[[#This Row],[Sanctions]]="Y",70,0)+IF(Table310[[#This Row],[High Risk Country]]="Y",25,0)</f>
        <v>0</v>
      </c>
      <c r="L217" t="str">
        <f>_xlfn.IFS(Table310[[#This Row],[Risk Score]]&gt;=85,"Critical",Table310[[#This Row],[Risk Score]]&gt;=65,"High",Table310[[#This Row],[Risk Score]]&gt;=45,"Medium",TRUE,"Low")</f>
        <v>Low</v>
      </c>
    </row>
    <row r="218" spans="1:12" x14ac:dyDescent="0.3">
      <c r="A218" t="s">
        <v>2597</v>
      </c>
      <c r="B218" t="s">
        <v>2897</v>
      </c>
      <c r="C218" t="s">
        <v>189</v>
      </c>
      <c r="D218" t="s">
        <v>216</v>
      </c>
      <c r="E218" t="s">
        <v>1949</v>
      </c>
      <c r="F218" t="s">
        <v>2026</v>
      </c>
      <c r="G218" t="s">
        <v>2374</v>
      </c>
      <c r="H218" t="s">
        <v>2375</v>
      </c>
      <c r="I218" t="s">
        <v>2375</v>
      </c>
      <c r="J218" t="str">
        <f>IF(COUNTIF(Table5[Country],Table310[Country])&gt;0,"Y","N")</f>
        <v>N</v>
      </c>
      <c r="K218">
        <f>IF(Table310[[#This Row],[Adverse Media]]="Y",15,0)+IF(Table310[[#This Row],[PEP]]="Y",50,0)+IF(Table310[[#This Row],[Sanctions]]="Y",70,0)+IF(Table310[[#This Row],[High Risk Country]]="Y",25,0)</f>
        <v>120</v>
      </c>
      <c r="L218" t="str">
        <f>_xlfn.IFS(Table310[[#This Row],[Risk Score]]&gt;=85,"Critical",Table310[[#This Row],[Risk Score]]&gt;=65,"High",Table310[[#This Row],[Risk Score]]&gt;=45,"Medium",TRUE,"Low")</f>
        <v>Critical</v>
      </c>
    </row>
    <row r="219" spans="1:12" x14ac:dyDescent="0.3">
      <c r="A219" t="s">
        <v>2598</v>
      </c>
      <c r="B219" t="s">
        <v>2898</v>
      </c>
      <c r="C219" t="s">
        <v>189</v>
      </c>
      <c r="D219" t="s">
        <v>202</v>
      </c>
      <c r="E219" t="s">
        <v>534</v>
      </c>
      <c r="F219" t="s">
        <v>569</v>
      </c>
      <c r="G219" t="s">
        <v>2375</v>
      </c>
      <c r="H219" t="s">
        <v>2375</v>
      </c>
      <c r="I219" t="s">
        <v>2375</v>
      </c>
      <c r="J219" t="str">
        <f>IF(COUNTIF(Table5[Country],Table310[Country])&gt;0,"Y","N")</f>
        <v>N</v>
      </c>
      <c r="K219">
        <f>IF(Table310[[#This Row],[Adverse Media]]="Y",15,0)+IF(Table310[[#This Row],[PEP]]="Y",50,0)+IF(Table310[[#This Row],[Sanctions]]="Y",70,0)+IF(Table310[[#This Row],[High Risk Country]]="Y",25,0)</f>
        <v>135</v>
      </c>
      <c r="L219" t="str">
        <f>_xlfn.IFS(Table310[[#This Row],[Risk Score]]&gt;=85,"Critical",Table310[[#This Row],[Risk Score]]&gt;=65,"High",Table310[[#This Row],[Risk Score]]&gt;=45,"Medium",TRUE,"Low")</f>
        <v>Critical</v>
      </c>
    </row>
    <row r="220" spans="1:12" x14ac:dyDescent="0.3">
      <c r="A220" t="s">
        <v>2599</v>
      </c>
      <c r="B220" t="s">
        <v>2899</v>
      </c>
      <c r="C220" t="s">
        <v>189</v>
      </c>
      <c r="D220" t="s">
        <v>235</v>
      </c>
      <c r="E220" t="s">
        <v>3568</v>
      </c>
      <c r="F220" t="s">
        <v>465</v>
      </c>
      <c r="G220" t="s">
        <v>2374</v>
      </c>
      <c r="H220" t="s">
        <v>2375</v>
      </c>
      <c r="I220" t="s">
        <v>2375</v>
      </c>
      <c r="J220" t="str">
        <f>IF(COUNTIF(Table5[Country],Table310[Country])&gt;0,"Y","N")</f>
        <v>N</v>
      </c>
      <c r="K220">
        <f>IF(Table310[[#This Row],[Adverse Media]]="Y",15,0)+IF(Table310[[#This Row],[PEP]]="Y",50,0)+IF(Table310[[#This Row],[Sanctions]]="Y",70,0)+IF(Table310[[#This Row],[High Risk Country]]="Y",25,0)</f>
        <v>120</v>
      </c>
      <c r="L220" t="str">
        <f>_xlfn.IFS(Table310[[#This Row],[Risk Score]]&gt;=85,"Critical",Table310[[#This Row],[Risk Score]]&gt;=65,"High",Table310[[#This Row],[Risk Score]]&gt;=45,"Medium",TRUE,"Low")</f>
        <v>Critical</v>
      </c>
    </row>
    <row r="221" spans="1:12" x14ac:dyDescent="0.3">
      <c r="A221" t="s">
        <v>2600</v>
      </c>
      <c r="B221" t="s">
        <v>2900</v>
      </c>
      <c r="C221" t="s">
        <v>189</v>
      </c>
      <c r="D221" t="s">
        <v>235</v>
      </c>
      <c r="E221" t="s">
        <v>391</v>
      </c>
      <c r="F221" t="s">
        <v>359</v>
      </c>
      <c r="G221" t="s">
        <v>2375</v>
      </c>
      <c r="H221" t="s">
        <v>2374</v>
      </c>
      <c r="I221" t="s">
        <v>2375</v>
      </c>
      <c r="J221" t="str">
        <f>IF(COUNTIF(Table5[Country],Table310[Country])&gt;0,"Y","N")</f>
        <v>N</v>
      </c>
      <c r="K221">
        <f>IF(Table310[[#This Row],[Adverse Media]]="Y",15,0)+IF(Table310[[#This Row],[PEP]]="Y",50,0)+IF(Table310[[#This Row],[Sanctions]]="Y",70,0)+IF(Table310[[#This Row],[High Risk Country]]="Y",25,0)</f>
        <v>85</v>
      </c>
      <c r="L221" t="str">
        <f>_xlfn.IFS(Table310[[#This Row],[Risk Score]]&gt;=85,"Critical",Table310[[#This Row],[Risk Score]]&gt;=65,"High",Table310[[#This Row],[Risk Score]]&gt;=45,"Medium",TRUE,"Low")</f>
        <v>Critical</v>
      </c>
    </row>
    <row r="222" spans="1:12" x14ac:dyDescent="0.3">
      <c r="A222" t="s">
        <v>2601</v>
      </c>
      <c r="B222" t="s">
        <v>2901</v>
      </c>
      <c r="C222" t="s">
        <v>189</v>
      </c>
      <c r="D222" t="s">
        <v>239</v>
      </c>
      <c r="E222" t="s">
        <v>3569</v>
      </c>
      <c r="F222" t="s">
        <v>3623</v>
      </c>
      <c r="G222" t="s">
        <v>2374</v>
      </c>
      <c r="H222" t="s">
        <v>2374</v>
      </c>
      <c r="I222" t="s">
        <v>2374</v>
      </c>
      <c r="J222" t="str">
        <f>IF(COUNTIF(Table5[Country],Table310[Country])&gt;0,"Y","N")</f>
        <v>N</v>
      </c>
      <c r="K222">
        <f>IF(Table310[[#This Row],[Adverse Media]]="Y",15,0)+IF(Table310[[#This Row],[PEP]]="Y",50,0)+IF(Table310[[#This Row],[Sanctions]]="Y",70,0)+IF(Table310[[#This Row],[High Risk Country]]="Y",25,0)</f>
        <v>0</v>
      </c>
      <c r="L222" t="str">
        <f>_xlfn.IFS(Table310[[#This Row],[Risk Score]]&gt;=85,"Critical",Table310[[#This Row],[Risk Score]]&gt;=65,"High",Table310[[#This Row],[Risk Score]]&gt;=45,"Medium",TRUE,"Low")</f>
        <v>Low</v>
      </c>
    </row>
    <row r="223" spans="1:12" x14ac:dyDescent="0.3">
      <c r="A223" t="s">
        <v>2602</v>
      </c>
      <c r="B223" t="s">
        <v>2902</v>
      </c>
      <c r="C223" t="s">
        <v>189</v>
      </c>
      <c r="D223" t="s">
        <v>235</v>
      </c>
      <c r="E223" t="s">
        <v>579</v>
      </c>
      <c r="F223" t="s">
        <v>3717</v>
      </c>
      <c r="G223" t="s">
        <v>2374</v>
      </c>
      <c r="H223" t="s">
        <v>2374</v>
      </c>
      <c r="I223" t="s">
        <v>2375</v>
      </c>
      <c r="J223" t="str">
        <f>IF(COUNTIF(Table5[Country],Table310[Country])&gt;0,"Y","N")</f>
        <v>N</v>
      </c>
      <c r="K223">
        <f>IF(Table310[[#This Row],[Adverse Media]]="Y",15,0)+IF(Table310[[#This Row],[PEP]]="Y",50,0)+IF(Table310[[#This Row],[Sanctions]]="Y",70,0)+IF(Table310[[#This Row],[High Risk Country]]="Y",25,0)</f>
        <v>70</v>
      </c>
      <c r="L223" t="str">
        <f>_xlfn.IFS(Table310[[#This Row],[Risk Score]]&gt;=85,"Critical",Table310[[#This Row],[Risk Score]]&gt;=65,"High",Table310[[#This Row],[Risk Score]]&gt;=45,"Medium",TRUE,"Low")</f>
        <v>High</v>
      </c>
    </row>
    <row r="224" spans="1:12" x14ac:dyDescent="0.3">
      <c r="A224" t="s">
        <v>2603</v>
      </c>
      <c r="B224" t="s">
        <v>2903</v>
      </c>
      <c r="C224" t="s">
        <v>189</v>
      </c>
      <c r="D224" t="s">
        <v>230</v>
      </c>
      <c r="E224" t="s">
        <v>2143</v>
      </c>
      <c r="F224" t="s">
        <v>2368</v>
      </c>
      <c r="G224" t="s">
        <v>2374</v>
      </c>
      <c r="H224" t="s">
        <v>2375</v>
      </c>
      <c r="I224" t="s">
        <v>2375</v>
      </c>
      <c r="J224" t="str">
        <f>IF(COUNTIF(Table5[Country],Table310[Country])&gt;0,"Y","N")</f>
        <v>N</v>
      </c>
      <c r="K224">
        <f>IF(Table310[[#This Row],[Adverse Media]]="Y",15,0)+IF(Table310[[#This Row],[PEP]]="Y",50,0)+IF(Table310[[#This Row],[Sanctions]]="Y",70,0)+IF(Table310[[#This Row],[High Risk Country]]="Y",25,0)</f>
        <v>120</v>
      </c>
      <c r="L224" t="str">
        <f>_xlfn.IFS(Table310[[#This Row],[Risk Score]]&gt;=85,"Critical",Table310[[#This Row],[Risk Score]]&gt;=65,"High",Table310[[#This Row],[Risk Score]]&gt;=45,"Medium",TRUE,"Low")</f>
        <v>Critical</v>
      </c>
    </row>
    <row r="225" spans="1:12" x14ac:dyDescent="0.3">
      <c r="A225" t="s">
        <v>2604</v>
      </c>
      <c r="B225" t="s">
        <v>2904</v>
      </c>
      <c r="C225" t="s">
        <v>189</v>
      </c>
      <c r="D225" t="s">
        <v>224</v>
      </c>
      <c r="E225" t="s">
        <v>1933</v>
      </c>
      <c r="F225" t="s">
        <v>417</v>
      </c>
      <c r="G225" t="s">
        <v>2374</v>
      </c>
      <c r="H225" t="s">
        <v>2374</v>
      </c>
      <c r="I225" t="s">
        <v>2374</v>
      </c>
      <c r="J225" t="str">
        <f>IF(COUNTIF(Table5[Country],Table310[Country])&gt;0,"Y","N")</f>
        <v>Y</v>
      </c>
      <c r="K225">
        <f>IF(Table310[[#This Row],[Adverse Media]]="Y",15,0)+IF(Table310[[#This Row],[PEP]]="Y",50,0)+IF(Table310[[#This Row],[Sanctions]]="Y",70,0)+IF(Table310[[#This Row],[High Risk Country]]="Y",25,0)</f>
        <v>25</v>
      </c>
      <c r="L225" t="str">
        <f>_xlfn.IFS(Table310[[#This Row],[Risk Score]]&gt;=85,"Critical",Table310[[#This Row],[Risk Score]]&gt;=65,"High",Table310[[#This Row],[Risk Score]]&gt;=45,"Medium",TRUE,"Low")</f>
        <v>Low</v>
      </c>
    </row>
    <row r="226" spans="1:12" x14ac:dyDescent="0.3">
      <c r="A226" t="s">
        <v>2605</v>
      </c>
      <c r="B226" t="s">
        <v>2905</v>
      </c>
      <c r="C226" t="s">
        <v>189</v>
      </c>
      <c r="D226" t="s">
        <v>194</v>
      </c>
      <c r="E226" t="s">
        <v>3570</v>
      </c>
      <c r="F226" t="s">
        <v>3718</v>
      </c>
      <c r="G226" t="s">
        <v>2374</v>
      </c>
      <c r="H226" t="s">
        <v>2374</v>
      </c>
      <c r="I226" t="s">
        <v>2374</v>
      </c>
      <c r="J226" t="str">
        <f>IF(COUNTIF(Table5[Country],Table310[Country])&gt;0,"Y","N")</f>
        <v>Y</v>
      </c>
      <c r="K226">
        <f>IF(Table310[[#This Row],[Adverse Media]]="Y",15,0)+IF(Table310[[#This Row],[PEP]]="Y",50,0)+IF(Table310[[#This Row],[Sanctions]]="Y",70,0)+IF(Table310[[#This Row],[High Risk Country]]="Y",25,0)</f>
        <v>25</v>
      </c>
      <c r="L226" t="str">
        <f>_xlfn.IFS(Table310[[#This Row],[Risk Score]]&gt;=85,"Critical",Table310[[#This Row],[Risk Score]]&gt;=65,"High",Table310[[#This Row],[Risk Score]]&gt;=45,"Medium",TRUE,"Low")</f>
        <v>Low</v>
      </c>
    </row>
    <row r="227" spans="1:12" x14ac:dyDescent="0.3">
      <c r="A227" t="s">
        <v>2606</v>
      </c>
      <c r="B227" t="s">
        <v>2906</v>
      </c>
      <c r="C227" t="s">
        <v>189</v>
      </c>
      <c r="D227" t="s">
        <v>232</v>
      </c>
      <c r="E227" t="s">
        <v>3571</v>
      </c>
      <c r="F227" t="s">
        <v>3719</v>
      </c>
      <c r="G227" t="s">
        <v>2374</v>
      </c>
      <c r="H227" t="s">
        <v>2374</v>
      </c>
      <c r="I227" t="s">
        <v>2375</v>
      </c>
      <c r="J227" t="str">
        <f>IF(COUNTIF(Table5[Country],Table310[Country])&gt;0,"Y","N")</f>
        <v>N</v>
      </c>
      <c r="K227">
        <f>IF(Table310[[#This Row],[Adverse Media]]="Y",15,0)+IF(Table310[[#This Row],[PEP]]="Y",50,0)+IF(Table310[[#This Row],[Sanctions]]="Y",70,0)+IF(Table310[[#This Row],[High Risk Country]]="Y",25,0)</f>
        <v>70</v>
      </c>
      <c r="L227" t="str">
        <f>_xlfn.IFS(Table310[[#This Row],[Risk Score]]&gt;=85,"Critical",Table310[[#This Row],[Risk Score]]&gt;=65,"High",Table310[[#This Row],[Risk Score]]&gt;=45,"Medium",TRUE,"Low")</f>
        <v>High</v>
      </c>
    </row>
    <row r="228" spans="1:12" x14ac:dyDescent="0.3">
      <c r="A228" t="s">
        <v>2607</v>
      </c>
      <c r="B228" t="s">
        <v>2907</v>
      </c>
      <c r="C228" t="s">
        <v>189</v>
      </c>
      <c r="D228" t="s">
        <v>192</v>
      </c>
      <c r="E228" t="s">
        <v>362</v>
      </c>
      <c r="F228" t="s">
        <v>3720</v>
      </c>
      <c r="G228" t="s">
        <v>2375</v>
      </c>
      <c r="H228" t="s">
        <v>2375</v>
      </c>
      <c r="I228" t="s">
        <v>2374</v>
      </c>
      <c r="J228" t="str">
        <f>IF(COUNTIF(Table5[Country],Table310[Country])&gt;0,"Y","N")</f>
        <v>N</v>
      </c>
      <c r="K228">
        <f>IF(Table310[[#This Row],[Adverse Media]]="Y",15,0)+IF(Table310[[#This Row],[PEP]]="Y",50,0)+IF(Table310[[#This Row],[Sanctions]]="Y",70,0)+IF(Table310[[#This Row],[High Risk Country]]="Y",25,0)</f>
        <v>65</v>
      </c>
      <c r="L228" t="str">
        <f>_xlfn.IFS(Table310[[#This Row],[Risk Score]]&gt;=85,"Critical",Table310[[#This Row],[Risk Score]]&gt;=65,"High",Table310[[#This Row],[Risk Score]]&gt;=45,"Medium",TRUE,"Low")</f>
        <v>High</v>
      </c>
    </row>
    <row r="229" spans="1:12" x14ac:dyDescent="0.3">
      <c r="A229" t="s">
        <v>2608</v>
      </c>
      <c r="B229" t="s">
        <v>2908</v>
      </c>
      <c r="C229" t="s">
        <v>189</v>
      </c>
      <c r="D229" t="s">
        <v>203</v>
      </c>
      <c r="E229" t="s">
        <v>1973</v>
      </c>
      <c r="F229" t="s">
        <v>2334</v>
      </c>
      <c r="G229" t="s">
        <v>2374</v>
      </c>
      <c r="H229" t="s">
        <v>2375</v>
      </c>
      <c r="I229" t="s">
        <v>2374</v>
      </c>
      <c r="J229" t="str">
        <f>IF(COUNTIF(Table5[Country],Table310[Country])&gt;0,"Y","N")</f>
        <v>Y</v>
      </c>
      <c r="K229">
        <f>IF(Table310[[#This Row],[Adverse Media]]="Y",15,0)+IF(Table310[[#This Row],[PEP]]="Y",50,0)+IF(Table310[[#This Row],[Sanctions]]="Y",70,0)+IF(Table310[[#This Row],[High Risk Country]]="Y",25,0)</f>
        <v>75</v>
      </c>
      <c r="L229" t="str">
        <f>_xlfn.IFS(Table310[[#This Row],[Risk Score]]&gt;=85,"Critical",Table310[[#This Row],[Risk Score]]&gt;=65,"High",Table310[[#This Row],[Risk Score]]&gt;=45,"Medium",TRUE,"Low")</f>
        <v>High</v>
      </c>
    </row>
    <row r="230" spans="1:12" x14ac:dyDescent="0.3">
      <c r="A230" t="s">
        <v>2609</v>
      </c>
      <c r="B230" t="s">
        <v>2909</v>
      </c>
      <c r="C230" t="s">
        <v>189</v>
      </c>
      <c r="D230" t="s">
        <v>222</v>
      </c>
      <c r="E230" t="s">
        <v>1977</v>
      </c>
      <c r="F230" t="s">
        <v>3721</v>
      </c>
      <c r="G230" t="s">
        <v>2374</v>
      </c>
      <c r="H230" t="s">
        <v>2375</v>
      </c>
      <c r="I230" t="s">
        <v>2374</v>
      </c>
      <c r="J230" t="str">
        <f>IF(COUNTIF(Table5[Country],Table310[Country])&gt;0,"Y","N")</f>
        <v>N</v>
      </c>
      <c r="K230">
        <f>IF(Table310[[#This Row],[Adverse Media]]="Y",15,0)+IF(Table310[[#This Row],[PEP]]="Y",50,0)+IF(Table310[[#This Row],[Sanctions]]="Y",70,0)+IF(Table310[[#This Row],[High Risk Country]]="Y",25,0)</f>
        <v>50</v>
      </c>
      <c r="L230" t="str">
        <f>_xlfn.IFS(Table310[[#This Row],[Risk Score]]&gt;=85,"Critical",Table310[[#This Row],[Risk Score]]&gt;=65,"High",Table310[[#This Row],[Risk Score]]&gt;=45,"Medium",TRUE,"Low")</f>
        <v>Medium</v>
      </c>
    </row>
    <row r="231" spans="1:12" x14ac:dyDescent="0.3">
      <c r="A231" t="s">
        <v>2610</v>
      </c>
      <c r="B231" t="s">
        <v>2910</v>
      </c>
      <c r="C231" t="s">
        <v>189</v>
      </c>
      <c r="D231" t="s">
        <v>220</v>
      </c>
      <c r="E231" t="s">
        <v>460</v>
      </c>
      <c r="F231" t="s">
        <v>3640</v>
      </c>
      <c r="G231" t="s">
        <v>2375</v>
      </c>
      <c r="H231" t="s">
        <v>2374</v>
      </c>
      <c r="I231" t="s">
        <v>2374</v>
      </c>
      <c r="J231" t="str">
        <f>IF(COUNTIF(Table5[Country],Table310[Country])&gt;0,"Y","N")</f>
        <v>N</v>
      </c>
      <c r="K231">
        <f>IF(Table310[[#This Row],[Adverse Media]]="Y",15,0)+IF(Table310[[#This Row],[PEP]]="Y",50,0)+IF(Table310[[#This Row],[Sanctions]]="Y",70,0)+IF(Table310[[#This Row],[High Risk Country]]="Y",25,0)</f>
        <v>15</v>
      </c>
      <c r="L231" t="str">
        <f>_xlfn.IFS(Table310[[#This Row],[Risk Score]]&gt;=85,"Critical",Table310[[#This Row],[Risk Score]]&gt;=65,"High",Table310[[#This Row],[Risk Score]]&gt;=45,"Medium",TRUE,"Low")</f>
        <v>Low</v>
      </c>
    </row>
    <row r="232" spans="1:12" x14ac:dyDescent="0.3">
      <c r="A232" t="s">
        <v>2611</v>
      </c>
      <c r="B232" t="s">
        <v>2911</v>
      </c>
      <c r="C232" t="s">
        <v>189</v>
      </c>
      <c r="D232" t="s">
        <v>195</v>
      </c>
      <c r="E232" t="s">
        <v>441</v>
      </c>
      <c r="F232" t="s">
        <v>3722</v>
      </c>
      <c r="G232" t="s">
        <v>2374</v>
      </c>
      <c r="H232" t="s">
        <v>2375</v>
      </c>
      <c r="I232" t="s">
        <v>2374</v>
      </c>
      <c r="J232" t="str">
        <f>IF(COUNTIF(Table5[Country],Table310[Country])&gt;0,"Y","N")</f>
        <v>N</v>
      </c>
      <c r="K232">
        <f>IF(Table310[[#This Row],[Adverse Media]]="Y",15,0)+IF(Table310[[#This Row],[PEP]]="Y",50,0)+IF(Table310[[#This Row],[Sanctions]]="Y",70,0)+IF(Table310[[#This Row],[High Risk Country]]="Y",25,0)</f>
        <v>50</v>
      </c>
      <c r="L232" t="str">
        <f>_xlfn.IFS(Table310[[#This Row],[Risk Score]]&gt;=85,"Critical",Table310[[#This Row],[Risk Score]]&gt;=65,"High",Table310[[#This Row],[Risk Score]]&gt;=45,"Medium",TRUE,"Low")</f>
        <v>Medium</v>
      </c>
    </row>
    <row r="233" spans="1:12" x14ac:dyDescent="0.3">
      <c r="A233" t="s">
        <v>2612</v>
      </c>
      <c r="B233" t="s">
        <v>2912</v>
      </c>
      <c r="C233" t="s">
        <v>189</v>
      </c>
      <c r="D233" t="s">
        <v>196</v>
      </c>
      <c r="E233" t="s">
        <v>490</v>
      </c>
      <c r="F233" t="s">
        <v>3651</v>
      </c>
      <c r="G233" t="s">
        <v>2374</v>
      </c>
      <c r="H233" t="s">
        <v>2375</v>
      </c>
      <c r="I233" t="s">
        <v>2374</v>
      </c>
      <c r="J233" t="str">
        <f>IF(COUNTIF(Table5[Country],Table310[Country])&gt;0,"Y","N")</f>
        <v>Y</v>
      </c>
      <c r="K233">
        <f>IF(Table310[[#This Row],[Adverse Media]]="Y",15,0)+IF(Table310[[#This Row],[PEP]]="Y",50,0)+IF(Table310[[#This Row],[Sanctions]]="Y",70,0)+IF(Table310[[#This Row],[High Risk Country]]="Y",25,0)</f>
        <v>75</v>
      </c>
      <c r="L233" t="str">
        <f>_xlfn.IFS(Table310[[#This Row],[Risk Score]]&gt;=85,"Critical",Table310[[#This Row],[Risk Score]]&gt;=65,"High",Table310[[#This Row],[Risk Score]]&gt;=45,"Medium",TRUE,"Low")</f>
        <v>High</v>
      </c>
    </row>
    <row r="234" spans="1:12" x14ac:dyDescent="0.3">
      <c r="A234" t="s">
        <v>2613</v>
      </c>
      <c r="B234" t="s">
        <v>2913</v>
      </c>
      <c r="C234" t="s">
        <v>189</v>
      </c>
      <c r="D234" t="s">
        <v>233</v>
      </c>
      <c r="E234" t="s">
        <v>2273</v>
      </c>
      <c r="F234" t="s">
        <v>3723</v>
      </c>
      <c r="G234" t="s">
        <v>2375</v>
      </c>
      <c r="H234" t="s">
        <v>2375</v>
      </c>
      <c r="I234" t="s">
        <v>2375</v>
      </c>
      <c r="J234" t="str">
        <f>IF(COUNTIF(Table5[Country],Table310[Country])&gt;0,"Y","N")</f>
        <v>N</v>
      </c>
      <c r="K234">
        <f>IF(Table310[[#This Row],[Adverse Media]]="Y",15,0)+IF(Table310[[#This Row],[PEP]]="Y",50,0)+IF(Table310[[#This Row],[Sanctions]]="Y",70,0)+IF(Table310[[#This Row],[High Risk Country]]="Y",25,0)</f>
        <v>135</v>
      </c>
      <c r="L234" t="str">
        <f>_xlfn.IFS(Table310[[#This Row],[Risk Score]]&gt;=85,"Critical",Table310[[#This Row],[Risk Score]]&gt;=65,"High",Table310[[#This Row],[Risk Score]]&gt;=45,"Medium",TRUE,"Low")</f>
        <v>Critical</v>
      </c>
    </row>
    <row r="235" spans="1:12" x14ac:dyDescent="0.3">
      <c r="A235" t="s">
        <v>2614</v>
      </c>
      <c r="B235" t="s">
        <v>2914</v>
      </c>
      <c r="C235" t="s">
        <v>189</v>
      </c>
      <c r="D235" t="s">
        <v>191</v>
      </c>
      <c r="E235" t="s">
        <v>3572</v>
      </c>
      <c r="F235" t="s">
        <v>3724</v>
      </c>
      <c r="G235" t="s">
        <v>2374</v>
      </c>
      <c r="H235" t="s">
        <v>2375</v>
      </c>
      <c r="I235" t="s">
        <v>2375</v>
      </c>
      <c r="J235" t="str">
        <f>IF(COUNTIF(Table5[Country],Table310[Country])&gt;0,"Y","N")</f>
        <v>N</v>
      </c>
      <c r="K235">
        <f>IF(Table310[[#This Row],[Adverse Media]]="Y",15,0)+IF(Table310[[#This Row],[PEP]]="Y",50,0)+IF(Table310[[#This Row],[Sanctions]]="Y",70,0)+IF(Table310[[#This Row],[High Risk Country]]="Y",25,0)</f>
        <v>120</v>
      </c>
      <c r="L235" t="str">
        <f>_xlfn.IFS(Table310[[#This Row],[Risk Score]]&gt;=85,"Critical",Table310[[#This Row],[Risk Score]]&gt;=65,"High",Table310[[#This Row],[Risk Score]]&gt;=45,"Medium",TRUE,"Low")</f>
        <v>Critical</v>
      </c>
    </row>
    <row r="236" spans="1:12" x14ac:dyDescent="0.3">
      <c r="A236" t="s">
        <v>2615</v>
      </c>
      <c r="B236" t="s">
        <v>2915</v>
      </c>
      <c r="C236" t="s">
        <v>189</v>
      </c>
      <c r="D236" t="s">
        <v>219</v>
      </c>
      <c r="E236" t="s">
        <v>1911</v>
      </c>
      <c r="F236" t="s">
        <v>3725</v>
      </c>
      <c r="G236" t="s">
        <v>2375</v>
      </c>
      <c r="H236" t="s">
        <v>2374</v>
      </c>
      <c r="I236" t="s">
        <v>2375</v>
      </c>
      <c r="J236" t="str">
        <f>IF(COUNTIF(Table5[Country],Table310[Country])&gt;0,"Y","N")</f>
        <v>Y</v>
      </c>
      <c r="K236">
        <f>IF(Table310[[#This Row],[Adverse Media]]="Y",15,0)+IF(Table310[[#This Row],[PEP]]="Y",50,0)+IF(Table310[[#This Row],[Sanctions]]="Y",70,0)+IF(Table310[[#This Row],[High Risk Country]]="Y",25,0)</f>
        <v>110</v>
      </c>
      <c r="L236" t="str">
        <f>_xlfn.IFS(Table310[[#This Row],[Risk Score]]&gt;=85,"Critical",Table310[[#This Row],[Risk Score]]&gt;=65,"High",Table310[[#This Row],[Risk Score]]&gt;=45,"Medium",TRUE,"Low")</f>
        <v>Critical</v>
      </c>
    </row>
    <row r="237" spans="1:12" x14ac:dyDescent="0.3">
      <c r="A237" t="s">
        <v>2616</v>
      </c>
      <c r="B237" t="s">
        <v>2916</v>
      </c>
      <c r="C237" t="s">
        <v>189</v>
      </c>
      <c r="D237" t="s">
        <v>223</v>
      </c>
      <c r="E237" t="s">
        <v>3573</v>
      </c>
      <c r="F237" t="s">
        <v>381</v>
      </c>
      <c r="G237" t="s">
        <v>2374</v>
      </c>
      <c r="H237" t="s">
        <v>2375</v>
      </c>
      <c r="I237" t="s">
        <v>2374</v>
      </c>
      <c r="J237" t="str">
        <f>IF(COUNTIF(Table5[Country],Table310[Country])&gt;0,"Y","N")</f>
        <v>N</v>
      </c>
      <c r="K237">
        <f>IF(Table310[[#This Row],[Adverse Media]]="Y",15,0)+IF(Table310[[#This Row],[PEP]]="Y",50,0)+IF(Table310[[#This Row],[Sanctions]]="Y",70,0)+IF(Table310[[#This Row],[High Risk Country]]="Y",25,0)</f>
        <v>50</v>
      </c>
      <c r="L237" t="str">
        <f>_xlfn.IFS(Table310[[#This Row],[Risk Score]]&gt;=85,"Critical",Table310[[#This Row],[Risk Score]]&gt;=65,"High",Table310[[#This Row],[Risk Score]]&gt;=45,"Medium",TRUE,"Low")</f>
        <v>Medium</v>
      </c>
    </row>
    <row r="238" spans="1:12" x14ac:dyDescent="0.3">
      <c r="A238" t="s">
        <v>2617</v>
      </c>
      <c r="B238" t="s">
        <v>2917</v>
      </c>
      <c r="C238" t="s">
        <v>189</v>
      </c>
      <c r="D238" t="s">
        <v>191</v>
      </c>
      <c r="E238" t="s">
        <v>2335</v>
      </c>
      <c r="F238" t="s">
        <v>3498</v>
      </c>
      <c r="G238" t="s">
        <v>2375</v>
      </c>
      <c r="H238" t="s">
        <v>2375</v>
      </c>
      <c r="I238" t="s">
        <v>2375</v>
      </c>
      <c r="J238" t="str">
        <f>IF(COUNTIF(Table5[Country],Table310[Country])&gt;0,"Y","N")</f>
        <v>N</v>
      </c>
      <c r="K238">
        <f>IF(Table310[[#This Row],[Adverse Media]]="Y",15,0)+IF(Table310[[#This Row],[PEP]]="Y",50,0)+IF(Table310[[#This Row],[Sanctions]]="Y",70,0)+IF(Table310[[#This Row],[High Risk Country]]="Y",25,0)</f>
        <v>135</v>
      </c>
      <c r="L238" t="str">
        <f>_xlfn.IFS(Table310[[#This Row],[Risk Score]]&gt;=85,"Critical",Table310[[#This Row],[Risk Score]]&gt;=65,"High",Table310[[#This Row],[Risk Score]]&gt;=45,"Medium",TRUE,"Low")</f>
        <v>Critical</v>
      </c>
    </row>
    <row r="239" spans="1:12" x14ac:dyDescent="0.3">
      <c r="A239" t="s">
        <v>2618</v>
      </c>
      <c r="B239" t="s">
        <v>2918</v>
      </c>
      <c r="C239" t="s">
        <v>189</v>
      </c>
      <c r="D239" t="s">
        <v>193</v>
      </c>
      <c r="E239" t="s">
        <v>1847</v>
      </c>
      <c r="F239" t="s">
        <v>3726</v>
      </c>
      <c r="G239" t="s">
        <v>2374</v>
      </c>
      <c r="H239" t="s">
        <v>2375</v>
      </c>
      <c r="I239" t="s">
        <v>2374</v>
      </c>
      <c r="J239" t="str">
        <f>IF(COUNTIF(Table5[Country],Table310[Country])&gt;0,"Y","N")</f>
        <v>Y</v>
      </c>
      <c r="K239">
        <f>IF(Table310[[#This Row],[Adverse Media]]="Y",15,0)+IF(Table310[[#This Row],[PEP]]="Y",50,0)+IF(Table310[[#This Row],[Sanctions]]="Y",70,0)+IF(Table310[[#This Row],[High Risk Country]]="Y",25,0)</f>
        <v>75</v>
      </c>
      <c r="L239" t="str">
        <f>_xlfn.IFS(Table310[[#This Row],[Risk Score]]&gt;=85,"Critical",Table310[[#This Row],[Risk Score]]&gt;=65,"High",Table310[[#This Row],[Risk Score]]&gt;=45,"Medium",TRUE,"Low")</f>
        <v>High</v>
      </c>
    </row>
    <row r="240" spans="1:12" x14ac:dyDescent="0.3">
      <c r="A240" t="s">
        <v>2619</v>
      </c>
      <c r="B240" t="s">
        <v>2919</v>
      </c>
      <c r="C240" t="s">
        <v>189</v>
      </c>
      <c r="D240" t="s">
        <v>218</v>
      </c>
      <c r="E240" t="s">
        <v>3574</v>
      </c>
      <c r="F240" t="s">
        <v>3727</v>
      </c>
      <c r="G240" t="s">
        <v>2374</v>
      </c>
      <c r="H240" t="s">
        <v>2374</v>
      </c>
      <c r="I240" t="s">
        <v>2374</v>
      </c>
      <c r="J240" t="str">
        <f>IF(COUNTIF(Table5[Country],Table310[Country])&gt;0,"Y","N")</f>
        <v>N</v>
      </c>
      <c r="K240">
        <f>IF(Table310[[#This Row],[Adverse Media]]="Y",15,0)+IF(Table310[[#This Row],[PEP]]="Y",50,0)+IF(Table310[[#This Row],[Sanctions]]="Y",70,0)+IF(Table310[[#This Row],[High Risk Country]]="Y",25,0)</f>
        <v>0</v>
      </c>
      <c r="L240" t="str">
        <f>_xlfn.IFS(Table310[[#This Row],[Risk Score]]&gt;=85,"Critical",Table310[[#This Row],[Risk Score]]&gt;=65,"High",Table310[[#This Row],[Risk Score]]&gt;=45,"Medium",TRUE,"Low")</f>
        <v>Low</v>
      </c>
    </row>
    <row r="241" spans="1:12" x14ac:dyDescent="0.3">
      <c r="A241" t="s">
        <v>2620</v>
      </c>
      <c r="B241" t="s">
        <v>2920</v>
      </c>
      <c r="C241" t="s">
        <v>189</v>
      </c>
      <c r="D241" t="s">
        <v>212</v>
      </c>
      <c r="E241" t="s">
        <v>458</v>
      </c>
      <c r="F241" t="s">
        <v>3728</v>
      </c>
      <c r="G241" t="s">
        <v>2374</v>
      </c>
      <c r="H241" t="s">
        <v>2375</v>
      </c>
      <c r="I241" t="s">
        <v>2374</v>
      </c>
      <c r="J241" t="str">
        <f>IF(COUNTIF(Table5[Country],Table310[Country])&gt;0,"Y","N")</f>
        <v>N</v>
      </c>
      <c r="K241">
        <f>IF(Table310[[#This Row],[Adverse Media]]="Y",15,0)+IF(Table310[[#This Row],[PEP]]="Y",50,0)+IF(Table310[[#This Row],[Sanctions]]="Y",70,0)+IF(Table310[[#This Row],[High Risk Country]]="Y",25,0)</f>
        <v>50</v>
      </c>
      <c r="L241" t="str">
        <f>_xlfn.IFS(Table310[[#This Row],[Risk Score]]&gt;=85,"Critical",Table310[[#This Row],[Risk Score]]&gt;=65,"High",Table310[[#This Row],[Risk Score]]&gt;=45,"Medium",TRUE,"Low")</f>
        <v>Medium</v>
      </c>
    </row>
    <row r="242" spans="1:12" x14ac:dyDescent="0.3">
      <c r="A242" t="s">
        <v>2621</v>
      </c>
      <c r="B242" t="s">
        <v>2921</v>
      </c>
      <c r="C242" t="s">
        <v>189</v>
      </c>
      <c r="D242" t="s">
        <v>239</v>
      </c>
      <c r="E242" t="s">
        <v>616</v>
      </c>
      <c r="F242" t="s">
        <v>3729</v>
      </c>
      <c r="G242" t="s">
        <v>2375</v>
      </c>
      <c r="H242" t="s">
        <v>2374</v>
      </c>
      <c r="I242" t="s">
        <v>2374</v>
      </c>
      <c r="J242" t="str">
        <f>IF(COUNTIF(Table5[Country],Table310[Country])&gt;0,"Y","N")</f>
        <v>N</v>
      </c>
      <c r="K242">
        <f>IF(Table310[[#This Row],[Adverse Media]]="Y",15,0)+IF(Table310[[#This Row],[PEP]]="Y",50,0)+IF(Table310[[#This Row],[Sanctions]]="Y",70,0)+IF(Table310[[#This Row],[High Risk Country]]="Y",25,0)</f>
        <v>15</v>
      </c>
      <c r="L242" t="str">
        <f>_xlfn.IFS(Table310[[#This Row],[Risk Score]]&gt;=85,"Critical",Table310[[#This Row],[Risk Score]]&gt;=65,"High",Table310[[#This Row],[Risk Score]]&gt;=45,"Medium",TRUE,"Low")</f>
        <v>Low</v>
      </c>
    </row>
    <row r="243" spans="1:12" x14ac:dyDescent="0.3">
      <c r="A243" t="s">
        <v>2622</v>
      </c>
      <c r="B243" t="s">
        <v>2922</v>
      </c>
      <c r="C243" t="s">
        <v>189</v>
      </c>
      <c r="D243" t="s">
        <v>193</v>
      </c>
      <c r="E243" t="s">
        <v>3575</v>
      </c>
      <c r="F243" t="s">
        <v>552</v>
      </c>
      <c r="G243" t="s">
        <v>2374</v>
      </c>
      <c r="H243" t="s">
        <v>2375</v>
      </c>
      <c r="I243" t="s">
        <v>2374</v>
      </c>
      <c r="J243" t="str">
        <f>IF(COUNTIF(Table5[Country],Table310[Country])&gt;0,"Y","N")</f>
        <v>Y</v>
      </c>
      <c r="K243">
        <f>IF(Table310[[#This Row],[Adverse Media]]="Y",15,0)+IF(Table310[[#This Row],[PEP]]="Y",50,0)+IF(Table310[[#This Row],[Sanctions]]="Y",70,0)+IF(Table310[[#This Row],[High Risk Country]]="Y",25,0)</f>
        <v>75</v>
      </c>
      <c r="L243" t="str">
        <f>_xlfn.IFS(Table310[[#This Row],[Risk Score]]&gt;=85,"Critical",Table310[[#This Row],[Risk Score]]&gt;=65,"High",Table310[[#This Row],[Risk Score]]&gt;=45,"Medium",TRUE,"Low")</f>
        <v>High</v>
      </c>
    </row>
    <row r="244" spans="1:12" x14ac:dyDescent="0.3">
      <c r="A244" t="s">
        <v>2623</v>
      </c>
      <c r="B244" t="s">
        <v>2923</v>
      </c>
      <c r="C244" t="s">
        <v>189</v>
      </c>
      <c r="D244" t="s">
        <v>230</v>
      </c>
      <c r="E244" t="s">
        <v>2057</v>
      </c>
      <c r="F244" t="s">
        <v>351</v>
      </c>
      <c r="G244" t="s">
        <v>2374</v>
      </c>
      <c r="H244" t="s">
        <v>2375</v>
      </c>
      <c r="I244" t="s">
        <v>2374</v>
      </c>
      <c r="J244" t="str">
        <f>IF(COUNTIF(Table5[Country],Table310[Country])&gt;0,"Y","N")</f>
        <v>N</v>
      </c>
      <c r="K244">
        <f>IF(Table310[[#This Row],[Adverse Media]]="Y",15,0)+IF(Table310[[#This Row],[PEP]]="Y",50,0)+IF(Table310[[#This Row],[Sanctions]]="Y",70,0)+IF(Table310[[#This Row],[High Risk Country]]="Y",25,0)</f>
        <v>50</v>
      </c>
      <c r="L244" t="str">
        <f>_xlfn.IFS(Table310[[#This Row],[Risk Score]]&gt;=85,"Critical",Table310[[#This Row],[Risk Score]]&gt;=65,"High",Table310[[#This Row],[Risk Score]]&gt;=45,"Medium",TRUE,"Low")</f>
        <v>Medium</v>
      </c>
    </row>
    <row r="245" spans="1:12" x14ac:dyDescent="0.3">
      <c r="A245" t="s">
        <v>2624</v>
      </c>
      <c r="B245" t="s">
        <v>2924</v>
      </c>
      <c r="C245" t="s">
        <v>189</v>
      </c>
      <c r="D245" t="s">
        <v>208</v>
      </c>
      <c r="E245" t="s">
        <v>3576</v>
      </c>
      <c r="F245" t="s">
        <v>1833</v>
      </c>
      <c r="G245" t="s">
        <v>2375</v>
      </c>
      <c r="H245" t="s">
        <v>2375</v>
      </c>
      <c r="I245" t="s">
        <v>2374</v>
      </c>
      <c r="J245" t="str">
        <f>IF(COUNTIF(Table5[Country],Table310[Country])&gt;0,"Y","N")</f>
        <v>Y</v>
      </c>
      <c r="K245">
        <f>IF(Table310[[#This Row],[Adverse Media]]="Y",15,0)+IF(Table310[[#This Row],[PEP]]="Y",50,0)+IF(Table310[[#This Row],[Sanctions]]="Y",70,0)+IF(Table310[[#This Row],[High Risk Country]]="Y",25,0)</f>
        <v>90</v>
      </c>
      <c r="L245" t="str">
        <f>_xlfn.IFS(Table310[[#This Row],[Risk Score]]&gt;=85,"Critical",Table310[[#This Row],[Risk Score]]&gt;=65,"High",Table310[[#This Row],[Risk Score]]&gt;=45,"Medium",TRUE,"Low")</f>
        <v>Critical</v>
      </c>
    </row>
    <row r="246" spans="1:12" x14ac:dyDescent="0.3">
      <c r="A246" t="s">
        <v>2625</v>
      </c>
      <c r="B246" t="s">
        <v>2925</v>
      </c>
      <c r="C246" t="s">
        <v>189</v>
      </c>
      <c r="D246" t="s">
        <v>223</v>
      </c>
      <c r="E246" t="s">
        <v>3577</v>
      </c>
      <c r="F246" t="s">
        <v>3730</v>
      </c>
      <c r="G246" t="s">
        <v>2375</v>
      </c>
      <c r="H246" t="s">
        <v>2375</v>
      </c>
      <c r="I246" t="s">
        <v>2374</v>
      </c>
      <c r="J246" t="str">
        <f>IF(COUNTIF(Table5[Country],Table310[Country])&gt;0,"Y","N")</f>
        <v>N</v>
      </c>
      <c r="K246">
        <f>IF(Table310[[#This Row],[Adverse Media]]="Y",15,0)+IF(Table310[[#This Row],[PEP]]="Y",50,0)+IF(Table310[[#This Row],[Sanctions]]="Y",70,0)+IF(Table310[[#This Row],[High Risk Country]]="Y",25,0)</f>
        <v>65</v>
      </c>
      <c r="L246" t="str">
        <f>_xlfn.IFS(Table310[[#This Row],[Risk Score]]&gt;=85,"Critical",Table310[[#This Row],[Risk Score]]&gt;=65,"High",Table310[[#This Row],[Risk Score]]&gt;=45,"Medium",TRUE,"Low")</f>
        <v>High</v>
      </c>
    </row>
    <row r="247" spans="1:12" x14ac:dyDescent="0.3">
      <c r="A247" t="s">
        <v>2626</v>
      </c>
      <c r="B247" t="s">
        <v>2926</v>
      </c>
      <c r="C247" t="s">
        <v>189</v>
      </c>
      <c r="D247" t="s">
        <v>225</v>
      </c>
      <c r="E247" t="s">
        <v>3578</v>
      </c>
      <c r="F247" t="s">
        <v>633</v>
      </c>
      <c r="G247" t="s">
        <v>2375</v>
      </c>
      <c r="H247" t="s">
        <v>2374</v>
      </c>
      <c r="I247" t="s">
        <v>2374</v>
      </c>
      <c r="J247" t="str">
        <f>IF(COUNTIF(Table5[Country],Table310[Country])&gt;0,"Y","N")</f>
        <v>N</v>
      </c>
      <c r="K247">
        <f>IF(Table310[[#This Row],[Adverse Media]]="Y",15,0)+IF(Table310[[#This Row],[PEP]]="Y",50,0)+IF(Table310[[#This Row],[Sanctions]]="Y",70,0)+IF(Table310[[#This Row],[High Risk Country]]="Y",25,0)</f>
        <v>15</v>
      </c>
      <c r="L247" t="str">
        <f>_xlfn.IFS(Table310[[#This Row],[Risk Score]]&gt;=85,"Critical",Table310[[#This Row],[Risk Score]]&gt;=65,"High",Table310[[#This Row],[Risk Score]]&gt;=45,"Medium",TRUE,"Low")</f>
        <v>Low</v>
      </c>
    </row>
    <row r="248" spans="1:12" x14ac:dyDescent="0.3">
      <c r="A248" t="s">
        <v>2627</v>
      </c>
      <c r="B248" t="s">
        <v>2927</v>
      </c>
      <c r="C248" t="s">
        <v>189</v>
      </c>
      <c r="D248" t="s">
        <v>225</v>
      </c>
      <c r="E248" t="s">
        <v>353</v>
      </c>
      <c r="F248" t="s">
        <v>491</v>
      </c>
      <c r="G248" t="s">
        <v>2374</v>
      </c>
      <c r="H248" t="s">
        <v>2374</v>
      </c>
      <c r="I248" t="s">
        <v>2374</v>
      </c>
      <c r="J248" t="str">
        <f>IF(COUNTIF(Table5[Country],Table310[Country])&gt;0,"Y","N")</f>
        <v>N</v>
      </c>
      <c r="K248">
        <f>IF(Table310[[#This Row],[Adverse Media]]="Y",15,0)+IF(Table310[[#This Row],[PEP]]="Y",50,0)+IF(Table310[[#This Row],[Sanctions]]="Y",70,0)+IF(Table310[[#This Row],[High Risk Country]]="Y",25,0)</f>
        <v>0</v>
      </c>
      <c r="L248" t="str">
        <f>_xlfn.IFS(Table310[[#This Row],[Risk Score]]&gt;=85,"Critical",Table310[[#This Row],[Risk Score]]&gt;=65,"High",Table310[[#This Row],[Risk Score]]&gt;=45,"Medium",TRUE,"Low")</f>
        <v>Low</v>
      </c>
    </row>
    <row r="249" spans="1:12" x14ac:dyDescent="0.3">
      <c r="A249" t="s">
        <v>2628</v>
      </c>
      <c r="B249" t="s">
        <v>2928</v>
      </c>
      <c r="C249" t="s">
        <v>189</v>
      </c>
      <c r="D249" t="s">
        <v>230</v>
      </c>
      <c r="E249" t="s">
        <v>448</v>
      </c>
      <c r="F249" t="s">
        <v>3556</v>
      </c>
      <c r="G249" t="s">
        <v>2374</v>
      </c>
      <c r="H249" t="s">
        <v>2374</v>
      </c>
      <c r="I249" t="s">
        <v>2374</v>
      </c>
      <c r="J249" t="str">
        <f>IF(COUNTIF(Table5[Country],Table310[Country])&gt;0,"Y","N")</f>
        <v>N</v>
      </c>
      <c r="K249">
        <f>IF(Table310[[#This Row],[Adverse Media]]="Y",15,0)+IF(Table310[[#This Row],[PEP]]="Y",50,0)+IF(Table310[[#This Row],[Sanctions]]="Y",70,0)+IF(Table310[[#This Row],[High Risk Country]]="Y",25,0)</f>
        <v>0</v>
      </c>
      <c r="L249" t="str">
        <f>_xlfn.IFS(Table310[[#This Row],[Risk Score]]&gt;=85,"Critical",Table310[[#This Row],[Risk Score]]&gt;=65,"High",Table310[[#This Row],[Risk Score]]&gt;=45,"Medium",TRUE,"Low")</f>
        <v>Low</v>
      </c>
    </row>
    <row r="250" spans="1:12" x14ac:dyDescent="0.3">
      <c r="A250" t="s">
        <v>2629</v>
      </c>
      <c r="B250" t="s">
        <v>2929</v>
      </c>
      <c r="C250" t="s">
        <v>189</v>
      </c>
      <c r="D250" t="s">
        <v>196</v>
      </c>
      <c r="E250" t="s">
        <v>3579</v>
      </c>
      <c r="F250" t="s">
        <v>3731</v>
      </c>
      <c r="G250" t="s">
        <v>2374</v>
      </c>
      <c r="H250" t="s">
        <v>2374</v>
      </c>
      <c r="I250" t="s">
        <v>2374</v>
      </c>
      <c r="J250" t="str">
        <f>IF(COUNTIF(Table5[Country],Table310[Country])&gt;0,"Y","N")</f>
        <v>Y</v>
      </c>
      <c r="K250">
        <f>IF(Table310[[#This Row],[Adverse Media]]="Y",15,0)+IF(Table310[[#This Row],[PEP]]="Y",50,0)+IF(Table310[[#This Row],[Sanctions]]="Y",70,0)+IF(Table310[[#This Row],[High Risk Country]]="Y",25,0)</f>
        <v>25</v>
      </c>
      <c r="L250" t="str">
        <f>_xlfn.IFS(Table310[[#This Row],[Risk Score]]&gt;=85,"Critical",Table310[[#This Row],[Risk Score]]&gt;=65,"High",Table310[[#This Row],[Risk Score]]&gt;=45,"Medium",TRUE,"Low")</f>
        <v>Low</v>
      </c>
    </row>
    <row r="251" spans="1:12" x14ac:dyDescent="0.3">
      <c r="A251" t="s">
        <v>2630</v>
      </c>
      <c r="B251" t="s">
        <v>2930</v>
      </c>
      <c r="C251" t="s">
        <v>189</v>
      </c>
      <c r="D251" t="s">
        <v>198</v>
      </c>
      <c r="E251" t="s">
        <v>326</v>
      </c>
      <c r="F251" t="s">
        <v>3427</v>
      </c>
      <c r="G251" t="s">
        <v>2374</v>
      </c>
      <c r="H251" t="s">
        <v>2375</v>
      </c>
      <c r="I251" t="s">
        <v>2374</v>
      </c>
      <c r="J251" t="str">
        <f>IF(COUNTIF(Table5[Country],Table310[Country])&gt;0,"Y","N")</f>
        <v>N</v>
      </c>
      <c r="K251">
        <f>IF(Table310[[#This Row],[Adverse Media]]="Y",15,0)+IF(Table310[[#This Row],[PEP]]="Y",50,0)+IF(Table310[[#This Row],[Sanctions]]="Y",70,0)+IF(Table310[[#This Row],[High Risk Country]]="Y",25,0)</f>
        <v>50</v>
      </c>
      <c r="L251" t="str">
        <f>_xlfn.IFS(Table310[[#This Row],[Risk Score]]&gt;=85,"Critical",Table310[[#This Row],[Risk Score]]&gt;=65,"High",Table310[[#This Row],[Risk Score]]&gt;=45,"Medium",TRUE,"Low")</f>
        <v>Medium</v>
      </c>
    </row>
    <row r="252" spans="1:12" x14ac:dyDescent="0.3">
      <c r="A252" t="s">
        <v>2631</v>
      </c>
      <c r="B252" t="s">
        <v>2931</v>
      </c>
      <c r="C252" t="s">
        <v>189</v>
      </c>
      <c r="D252" t="s">
        <v>237</v>
      </c>
      <c r="E252" t="s">
        <v>3580</v>
      </c>
      <c r="F252" t="s">
        <v>3732</v>
      </c>
      <c r="G252" t="s">
        <v>2374</v>
      </c>
      <c r="H252" t="s">
        <v>2374</v>
      </c>
      <c r="I252" t="s">
        <v>2374</v>
      </c>
      <c r="J252" t="str">
        <f>IF(COUNTIF(Table5[Country],Table310[Country])&gt;0,"Y","N")</f>
        <v>Y</v>
      </c>
      <c r="K252">
        <f>IF(Table310[[#This Row],[Adverse Media]]="Y",15,0)+IF(Table310[[#This Row],[PEP]]="Y",50,0)+IF(Table310[[#This Row],[Sanctions]]="Y",70,0)+IF(Table310[[#This Row],[High Risk Country]]="Y",25,0)</f>
        <v>25</v>
      </c>
      <c r="L252" t="str">
        <f>_xlfn.IFS(Table310[[#This Row],[Risk Score]]&gt;=85,"Critical",Table310[[#This Row],[Risk Score]]&gt;=65,"High",Table310[[#This Row],[Risk Score]]&gt;=45,"Medium",TRUE,"Low")</f>
        <v>Low</v>
      </c>
    </row>
    <row r="253" spans="1:12" x14ac:dyDescent="0.3">
      <c r="A253" t="s">
        <v>2632</v>
      </c>
      <c r="B253" t="s">
        <v>2932</v>
      </c>
      <c r="C253" t="s">
        <v>189</v>
      </c>
      <c r="D253" t="s">
        <v>225</v>
      </c>
      <c r="E253" t="s">
        <v>2029</v>
      </c>
      <c r="F253" t="s">
        <v>3520</v>
      </c>
      <c r="G253" t="s">
        <v>2374</v>
      </c>
      <c r="H253" t="s">
        <v>2375</v>
      </c>
      <c r="I253" t="s">
        <v>2374</v>
      </c>
      <c r="J253" t="str">
        <f>IF(COUNTIF(Table5[Country],Table310[Country])&gt;0,"Y","N")</f>
        <v>N</v>
      </c>
      <c r="K253">
        <f>IF(Table310[[#This Row],[Adverse Media]]="Y",15,0)+IF(Table310[[#This Row],[PEP]]="Y",50,0)+IF(Table310[[#This Row],[Sanctions]]="Y",70,0)+IF(Table310[[#This Row],[High Risk Country]]="Y",25,0)</f>
        <v>50</v>
      </c>
      <c r="L253" t="str">
        <f>_xlfn.IFS(Table310[[#This Row],[Risk Score]]&gt;=85,"Critical",Table310[[#This Row],[Risk Score]]&gt;=65,"High",Table310[[#This Row],[Risk Score]]&gt;=45,"Medium",TRUE,"Low")</f>
        <v>Medium</v>
      </c>
    </row>
    <row r="254" spans="1:12" x14ac:dyDescent="0.3">
      <c r="A254" t="s">
        <v>2633</v>
      </c>
      <c r="B254" t="s">
        <v>2933</v>
      </c>
      <c r="C254" t="s">
        <v>189</v>
      </c>
      <c r="D254" t="s">
        <v>221</v>
      </c>
      <c r="E254" t="s">
        <v>648</v>
      </c>
      <c r="F254" t="s">
        <v>3733</v>
      </c>
      <c r="G254" t="s">
        <v>2374</v>
      </c>
      <c r="H254" t="s">
        <v>2374</v>
      </c>
      <c r="I254" t="s">
        <v>2374</v>
      </c>
      <c r="J254" t="str">
        <f>IF(COUNTIF(Table5[Country],Table310[Country])&gt;0,"Y","N")</f>
        <v>N</v>
      </c>
      <c r="K254">
        <f>IF(Table310[[#This Row],[Adverse Media]]="Y",15,0)+IF(Table310[[#This Row],[PEP]]="Y",50,0)+IF(Table310[[#This Row],[Sanctions]]="Y",70,0)+IF(Table310[[#This Row],[High Risk Country]]="Y",25,0)</f>
        <v>0</v>
      </c>
      <c r="L254" t="str">
        <f>_xlfn.IFS(Table310[[#This Row],[Risk Score]]&gt;=85,"Critical",Table310[[#This Row],[Risk Score]]&gt;=65,"High",Table310[[#This Row],[Risk Score]]&gt;=45,"Medium",TRUE,"Low")</f>
        <v>Low</v>
      </c>
    </row>
    <row r="255" spans="1:12" x14ac:dyDescent="0.3">
      <c r="A255" t="s">
        <v>2634</v>
      </c>
      <c r="B255" t="s">
        <v>2934</v>
      </c>
      <c r="C255" t="s">
        <v>189</v>
      </c>
      <c r="D255" t="s">
        <v>194</v>
      </c>
      <c r="E255" t="s">
        <v>3581</v>
      </c>
      <c r="F255" t="s">
        <v>3317</v>
      </c>
      <c r="G255" t="s">
        <v>2374</v>
      </c>
      <c r="H255" t="s">
        <v>2375</v>
      </c>
      <c r="I255" t="s">
        <v>2374</v>
      </c>
      <c r="J255" t="str">
        <f>IF(COUNTIF(Table5[Country],Table310[Country])&gt;0,"Y","N")</f>
        <v>Y</v>
      </c>
      <c r="K255">
        <f>IF(Table310[[#This Row],[Adverse Media]]="Y",15,0)+IF(Table310[[#This Row],[PEP]]="Y",50,0)+IF(Table310[[#This Row],[Sanctions]]="Y",70,0)+IF(Table310[[#This Row],[High Risk Country]]="Y",25,0)</f>
        <v>75</v>
      </c>
      <c r="L255" t="str">
        <f>_xlfn.IFS(Table310[[#This Row],[Risk Score]]&gt;=85,"Critical",Table310[[#This Row],[Risk Score]]&gt;=65,"High",Table310[[#This Row],[Risk Score]]&gt;=45,"Medium",TRUE,"Low")</f>
        <v>High</v>
      </c>
    </row>
    <row r="256" spans="1:12" x14ac:dyDescent="0.3">
      <c r="A256" t="s">
        <v>2635</v>
      </c>
      <c r="B256" t="s">
        <v>2935</v>
      </c>
      <c r="C256" t="s">
        <v>189</v>
      </c>
      <c r="D256" t="s">
        <v>216</v>
      </c>
      <c r="E256" t="s">
        <v>3582</v>
      </c>
      <c r="F256" t="s">
        <v>3556</v>
      </c>
      <c r="G256" t="s">
        <v>2374</v>
      </c>
      <c r="H256" t="s">
        <v>2375</v>
      </c>
      <c r="I256" t="s">
        <v>2374</v>
      </c>
      <c r="J256" t="str">
        <f>IF(COUNTIF(Table5[Country],Table310[Country])&gt;0,"Y","N")</f>
        <v>N</v>
      </c>
      <c r="K256">
        <f>IF(Table310[[#This Row],[Adverse Media]]="Y",15,0)+IF(Table310[[#This Row],[PEP]]="Y",50,0)+IF(Table310[[#This Row],[Sanctions]]="Y",70,0)+IF(Table310[[#This Row],[High Risk Country]]="Y",25,0)</f>
        <v>50</v>
      </c>
      <c r="L256" t="str">
        <f>_xlfn.IFS(Table310[[#This Row],[Risk Score]]&gt;=85,"Critical",Table310[[#This Row],[Risk Score]]&gt;=65,"High",Table310[[#This Row],[Risk Score]]&gt;=45,"Medium",TRUE,"Low")</f>
        <v>Medium</v>
      </c>
    </row>
    <row r="257" spans="1:12" x14ac:dyDescent="0.3">
      <c r="A257" t="s">
        <v>2636</v>
      </c>
      <c r="B257" t="s">
        <v>2936</v>
      </c>
      <c r="C257" t="s">
        <v>189</v>
      </c>
      <c r="D257" t="s">
        <v>202</v>
      </c>
      <c r="E257" t="s">
        <v>3583</v>
      </c>
      <c r="F257" t="s">
        <v>3734</v>
      </c>
      <c r="G257" t="s">
        <v>2374</v>
      </c>
      <c r="H257" t="s">
        <v>2375</v>
      </c>
      <c r="I257" t="s">
        <v>2374</v>
      </c>
      <c r="J257" t="str">
        <f>IF(COUNTIF(Table5[Country],Table310[Country])&gt;0,"Y","N")</f>
        <v>N</v>
      </c>
      <c r="K257">
        <f>IF(Table310[[#This Row],[Adverse Media]]="Y",15,0)+IF(Table310[[#This Row],[PEP]]="Y",50,0)+IF(Table310[[#This Row],[Sanctions]]="Y",70,0)+IF(Table310[[#This Row],[High Risk Country]]="Y",25,0)</f>
        <v>50</v>
      </c>
      <c r="L257" t="str">
        <f>_xlfn.IFS(Table310[[#This Row],[Risk Score]]&gt;=85,"Critical",Table310[[#This Row],[Risk Score]]&gt;=65,"High",Table310[[#This Row],[Risk Score]]&gt;=45,"Medium",TRUE,"Low")</f>
        <v>Medium</v>
      </c>
    </row>
    <row r="258" spans="1:12" x14ac:dyDescent="0.3">
      <c r="A258" t="s">
        <v>2637</v>
      </c>
      <c r="B258" t="s">
        <v>2937</v>
      </c>
      <c r="C258" t="s">
        <v>189</v>
      </c>
      <c r="D258" t="s">
        <v>225</v>
      </c>
      <c r="E258" t="s">
        <v>3584</v>
      </c>
      <c r="F258" t="s">
        <v>271</v>
      </c>
      <c r="G258" t="s">
        <v>2374</v>
      </c>
      <c r="H258" t="s">
        <v>2375</v>
      </c>
      <c r="I258" t="s">
        <v>2374</v>
      </c>
      <c r="J258" t="str">
        <f>IF(COUNTIF(Table5[Country],Table310[Country])&gt;0,"Y","N")</f>
        <v>N</v>
      </c>
      <c r="K258">
        <f>IF(Table310[[#This Row],[Adverse Media]]="Y",15,0)+IF(Table310[[#This Row],[PEP]]="Y",50,0)+IF(Table310[[#This Row],[Sanctions]]="Y",70,0)+IF(Table310[[#This Row],[High Risk Country]]="Y",25,0)</f>
        <v>50</v>
      </c>
      <c r="L258" t="str">
        <f>_xlfn.IFS(Table310[[#This Row],[Risk Score]]&gt;=85,"Critical",Table310[[#This Row],[Risk Score]]&gt;=65,"High",Table310[[#This Row],[Risk Score]]&gt;=45,"Medium",TRUE,"Low")</f>
        <v>Medium</v>
      </c>
    </row>
    <row r="259" spans="1:12" x14ac:dyDescent="0.3">
      <c r="A259" t="s">
        <v>2638</v>
      </c>
      <c r="B259" t="s">
        <v>2938</v>
      </c>
      <c r="C259" t="s">
        <v>189</v>
      </c>
      <c r="D259" t="s">
        <v>213</v>
      </c>
      <c r="E259" t="s">
        <v>1773</v>
      </c>
      <c r="F259" t="s">
        <v>3735</v>
      </c>
      <c r="G259" t="s">
        <v>2374</v>
      </c>
      <c r="H259" t="s">
        <v>2374</v>
      </c>
      <c r="I259" t="s">
        <v>2374</v>
      </c>
      <c r="J259" t="str">
        <f>IF(COUNTIF(Table5[Country],Table310[Country])&gt;0,"Y","N")</f>
        <v>Y</v>
      </c>
      <c r="K259">
        <f>IF(Table310[[#This Row],[Adverse Media]]="Y",15,0)+IF(Table310[[#This Row],[PEP]]="Y",50,0)+IF(Table310[[#This Row],[Sanctions]]="Y",70,0)+IF(Table310[[#This Row],[High Risk Country]]="Y",25,0)</f>
        <v>25</v>
      </c>
      <c r="L259" t="str">
        <f>_xlfn.IFS(Table310[[#This Row],[Risk Score]]&gt;=85,"Critical",Table310[[#This Row],[Risk Score]]&gt;=65,"High",Table310[[#This Row],[Risk Score]]&gt;=45,"Medium",TRUE,"Low")</f>
        <v>Low</v>
      </c>
    </row>
    <row r="260" spans="1:12" x14ac:dyDescent="0.3">
      <c r="A260" t="s">
        <v>2639</v>
      </c>
      <c r="B260" t="s">
        <v>2939</v>
      </c>
      <c r="C260" t="s">
        <v>189</v>
      </c>
      <c r="D260" t="s">
        <v>197</v>
      </c>
      <c r="E260" t="s">
        <v>1745</v>
      </c>
      <c r="F260" t="s">
        <v>358</v>
      </c>
      <c r="G260" t="s">
        <v>2374</v>
      </c>
      <c r="H260" t="s">
        <v>2374</v>
      </c>
      <c r="I260" t="s">
        <v>2374</v>
      </c>
      <c r="J260" t="str">
        <f>IF(COUNTIF(Table5[Country],Table310[Country])&gt;0,"Y","N")</f>
        <v>Y</v>
      </c>
      <c r="K260">
        <f>IF(Table310[[#This Row],[Adverse Media]]="Y",15,0)+IF(Table310[[#This Row],[PEP]]="Y",50,0)+IF(Table310[[#This Row],[Sanctions]]="Y",70,0)+IF(Table310[[#This Row],[High Risk Country]]="Y",25,0)</f>
        <v>25</v>
      </c>
      <c r="L260" t="str">
        <f>_xlfn.IFS(Table310[[#This Row],[Risk Score]]&gt;=85,"Critical",Table310[[#This Row],[Risk Score]]&gt;=65,"High",Table310[[#This Row],[Risk Score]]&gt;=45,"Medium",TRUE,"Low")</f>
        <v>Low</v>
      </c>
    </row>
    <row r="261" spans="1:12" x14ac:dyDescent="0.3">
      <c r="A261" t="s">
        <v>2640</v>
      </c>
      <c r="B261" t="s">
        <v>2940</v>
      </c>
      <c r="C261" t="s">
        <v>189</v>
      </c>
      <c r="D261" t="s">
        <v>191</v>
      </c>
      <c r="E261" t="s">
        <v>2244</v>
      </c>
      <c r="F261" t="s">
        <v>665</v>
      </c>
      <c r="G261" t="s">
        <v>2374</v>
      </c>
      <c r="H261" t="s">
        <v>2374</v>
      </c>
      <c r="I261" t="s">
        <v>2374</v>
      </c>
      <c r="J261" t="str">
        <f>IF(COUNTIF(Table5[Country],Table310[Country])&gt;0,"Y","N")</f>
        <v>N</v>
      </c>
      <c r="K261">
        <f>IF(Table310[[#This Row],[Adverse Media]]="Y",15,0)+IF(Table310[[#This Row],[PEP]]="Y",50,0)+IF(Table310[[#This Row],[Sanctions]]="Y",70,0)+IF(Table310[[#This Row],[High Risk Country]]="Y",25,0)</f>
        <v>0</v>
      </c>
      <c r="L261" t="str">
        <f>_xlfn.IFS(Table310[[#This Row],[Risk Score]]&gt;=85,"Critical",Table310[[#This Row],[Risk Score]]&gt;=65,"High",Table310[[#This Row],[Risk Score]]&gt;=45,"Medium",TRUE,"Low")</f>
        <v>Low</v>
      </c>
    </row>
    <row r="262" spans="1:12" x14ac:dyDescent="0.3">
      <c r="A262" t="s">
        <v>2641</v>
      </c>
      <c r="B262" t="s">
        <v>2941</v>
      </c>
      <c r="C262" t="s">
        <v>189</v>
      </c>
      <c r="D262" t="s">
        <v>242</v>
      </c>
      <c r="E262" t="s">
        <v>430</v>
      </c>
      <c r="F262" t="s">
        <v>505</v>
      </c>
      <c r="G262" t="s">
        <v>2374</v>
      </c>
      <c r="H262" t="s">
        <v>2374</v>
      </c>
      <c r="I262" t="s">
        <v>2374</v>
      </c>
      <c r="J262" t="str">
        <f>IF(COUNTIF(Table5[Country],Table310[Country])&gt;0,"Y","N")</f>
        <v>N</v>
      </c>
      <c r="K262">
        <f>IF(Table310[[#This Row],[Adverse Media]]="Y",15,0)+IF(Table310[[#This Row],[PEP]]="Y",50,0)+IF(Table310[[#This Row],[Sanctions]]="Y",70,0)+IF(Table310[[#This Row],[High Risk Country]]="Y",25,0)</f>
        <v>0</v>
      </c>
      <c r="L262" t="str">
        <f>_xlfn.IFS(Table310[[#This Row],[Risk Score]]&gt;=85,"Critical",Table310[[#This Row],[Risk Score]]&gt;=65,"High",Table310[[#This Row],[Risk Score]]&gt;=45,"Medium",TRUE,"Low")</f>
        <v>Low</v>
      </c>
    </row>
    <row r="263" spans="1:12" x14ac:dyDescent="0.3">
      <c r="A263" t="s">
        <v>2642</v>
      </c>
      <c r="B263" t="s">
        <v>2942</v>
      </c>
      <c r="C263" t="s">
        <v>189</v>
      </c>
      <c r="D263" t="s">
        <v>227</v>
      </c>
      <c r="E263" t="s">
        <v>3585</v>
      </c>
      <c r="F263" t="s">
        <v>3736</v>
      </c>
      <c r="G263" t="s">
        <v>2374</v>
      </c>
      <c r="H263" t="s">
        <v>2374</v>
      </c>
      <c r="I263" t="s">
        <v>2374</v>
      </c>
      <c r="J263" t="str">
        <f>IF(COUNTIF(Table5[Country],Table310[Country])&gt;0,"Y","N")</f>
        <v>N</v>
      </c>
      <c r="K263">
        <f>IF(Table310[[#This Row],[Adverse Media]]="Y",15,0)+IF(Table310[[#This Row],[PEP]]="Y",50,0)+IF(Table310[[#This Row],[Sanctions]]="Y",70,0)+IF(Table310[[#This Row],[High Risk Country]]="Y",25,0)</f>
        <v>0</v>
      </c>
      <c r="L263" t="str">
        <f>_xlfn.IFS(Table310[[#This Row],[Risk Score]]&gt;=85,"Critical",Table310[[#This Row],[Risk Score]]&gt;=65,"High",Table310[[#This Row],[Risk Score]]&gt;=45,"Medium",TRUE,"Low")</f>
        <v>Low</v>
      </c>
    </row>
    <row r="264" spans="1:12" x14ac:dyDescent="0.3">
      <c r="A264" t="s">
        <v>2643</v>
      </c>
      <c r="B264" t="s">
        <v>2943</v>
      </c>
      <c r="C264" t="s">
        <v>189</v>
      </c>
      <c r="D264" t="s">
        <v>243</v>
      </c>
      <c r="E264" t="s">
        <v>3586</v>
      </c>
      <c r="F264" t="s">
        <v>1788</v>
      </c>
      <c r="G264" t="s">
        <v>2374</v>
      </c>
      <c r="H264" t="s">
        <v>2374</v>
      </c>
      <c r="I264" t="s">
        <v>2374</v>
      </c>
      <c r="J264" t="str">
        <f>IF(COUNTIF(Table5[Country],Table310[Country])&gt;0,"Y","N")</f>
        <v>Y</v>
      </c>
      <c r="K264">
        <f>IF(Table310[[#This Row],[Adverse Media]]="Y",15,0)+IF(Table310[[#This Row],[PEP]]="Y",50,0)+IF(Table310[[#This Row],[Sanctions]]="Y",70,0)+IF(Table310[[#This Row],[High Risk Country]]="Y",25,0)</f>
        <v>25</v>
      </c>
      <c r="L264" t="str">
        <f>_xlfn.IFS(Table310[[#This Row],[Risk Score]]&gt;=85,"Critical",Table310[[#This Row],[Risk Score]]&gt;=65,"High",Table310[[#This Row],[Risk Score]]&gt;=45,"Medium",TRUE,"Low")</f>
        <v>Low</v>
      </c>
    </row>
    <row r="265" spans="1:12" x14ac:dyDescent="0.3">
      <c r="A265" t="s">
        <v>2644</v>
      </c>
      <c r="B265" t="s">
        <v>2944</v>
      </c>
      <c r="C265" t="s">
        <v>189</v>
      </c>
      <c r="D265" t="s">
        <v>239</v>
      </c>
      <c r="E265" t="s">
        <v>3587</v>
      </c>
      <c r="F265" t="s">
        <v>443</v>
      </c>
      <c r="G265" t="s">
        <v>2374</v>
      </c>
      <c r="H265" t="s">
        <v>2374</v>
      </c>
      <c r="I265" t="s">
        <v>2374</v>
      </c>
      <c r="J265" t="str">
        <f>IF(COUNTIF(Table5[Country],Table310[Country])&gt;0,"Y","N")</f>
        <v>N</v>
      </c>
      <c r="K265">
        <f>IF(Table310[[#This Row],[Adverse Media]]="Y",15,0)+IF(Table310[[#This Row],[PEP]]="Y",50,0)+IF(Table310[[#This Row],[Sanctions]]="Y",70,0)+IF(Table310[[#This Row],[High Risk Country]]="Y",25,0)</f>
        <v>0</v>
      </c>
      <c r="L265" t="str">
        <f>_xlfn.IFS(Table310[[#This Row],[Risk Score]]&gt;=85,"Critical",Table310[[#This Row],[Risk Score]]&gt;=65,"High",Table310[[#This Row],[Risk Score]]&gt;=45,"Medium",TRUE,"Low")</f>
        <v>Low</v>
      </c>
    </row>
    <row r="266" spans="1:12" x14ac:dyDescent="0.3">
      <c r="A266" t="s">
        <v>2645</v>
      </c>
      <c r="B266" t="s">
        <v>2945</v>
      </c>
      <c r="C266" t="s">
        <v>189</v>
      </c>
      <c r="D266" t="s">
        <v>200</v>
      </c>
      <c r="E266" t="s">
        <v>3588</v>
      </c>
      <c r="F266" t="s">
        <v>3737</v>
      </c>
      <c r="G266" t="s">
        <v>2374</v>
      </c>
      <c r="H266" t="s">
        <v>2374</v>
      </c>
      <c r="I266" t="s">
        <v>2374</v>
      </c>
      <c r="J266" t="str">
        <f>IF(COUNTIF(Table5[Country],Table310[Country])&gt;0,"Y","N")</f>
        <v>N</v>
      </c>
      <c r="K266">
        <f>IF(Table310[[#This Row],[Adverse Media]]="Y",15,0)+IF(Table310[[#This Row],[PEP]]="Y",50,0)+IF(Table310[[#This Row],[Sanctions]]="Y",70,0)+IF(Table310[[#This Row],[High Risk Country]]="Y",25,0)</f>
        <v>0</v>
      </c>
      <c r="L266" t="str">
        <f>_xlfn.IFS(Table310[[#This Row],[Risk Score]]&gt;=85,"Critical",Table310[[#This Row],[Risk Score]]&gt;=65,"High",Table310[[#This Row],[Risk Score]]&gt;=45,"Medium",TRUE,"Low")</f>
        <v>Low</v>
      </c>
    </row>
    <row r="267" spans="1:12" x14ac:dyDescent="0.3">
      <c r="A267" t="s">
        <v>2646</v>
      </c>
      <c r="B267" t="s">
        <v>2946</v>
      </c>
      <c r="C267" t="s">
        <v>189</v>
      </c>
      <c r="D267" t="s">
        <v>216</v>
      </c>
      <c r="E267" t="s">
        <v>580</v>
      </c>
      <c r="F267" t="s">
        <v>3738</v>
      </c>
      <c r="G267" t="s">
        <v>2374</v>
      </c>
      <c r="H267" t="s">
        <v>2374</v>
      </c>
      <c r="I267" t="s">
        <v>2374</v>
      </c>
      <c r="J267" t="str">
        <f>IF(COUNTIF(Table5[Country],Table310[Country])&gt;0,"Y","N")</f>
        <v>N</v>
      </c>
      <c r="K267">
        <f>IF(Table310[[#This Row],[Adverse Media]]="Y",15,0)+IF(Table310[[#This Row],[PEP]]="Y",50,0)+IF(Table310[[#This Row],[Sanctions]]="Y",70,0)+IF(Table310[[#This Row],[High Risk Country]]="Y",25,0)</f>
        <v>0</v>
      </c>
      <c r="L267" t="str">
        <f>_xlfn.IFS(Table310[[#This Row],[Risk Score]]&gt;=85,"Critical",Table310[[#This Row],[Risk Score]]&gt;=65,"High",Table310[[#This Row],[Risk Score]]&gt;=45,"Medium",TRUE,"Low")</f>
        <v>Low</v>
      </c>
    </row>
    <row r="268" spans="1:12" x14ac:dyDescent="0.3">
      <c r="A268" t="s">
        <v>2647</v>
      </c>
      <c r="B268" t="s">
        <v>2947</v>
      </c>
      <c r="C268" t="s">
        <v>189</v>
      </c>
      <c r="D268" t="s">
        <v>210</v>
      </c>
      <c r="E268" t="s">
        <v>3589</v>
      </c>
      <c r="F268" t="s">
        <v>3739</v>
      </c>
      <c r="G268" t="s">
        <v>2374</v>
      </c>
      <c r="H268" t="s">
        <v>2374</v>
      </c>
      <c r="I268" t="s">
        <v>2374</v>
      </c>
      <c r="J268" t="str">
        <f>IF(COUNTIF(Table5[Country],Table310[Country])&gt;0,"Y","N")</f>
        <v>N</v>
      </c>
      <c r="K268">
        <f>IF(Table310[[#This Row],[Adverse Media]]="Y",15,0)+IF(Table310[[#This Row],[PEP]]="Y",50,0)+IF(Table310[[#This Row],[Sanctions]]="Y",70,0)+IF(Table310[[#This Row],[High Risk Country]]="Y",25,0)</f>
        <v>0</v>
      </c>
      <c r="L268" t="str">
        <f>_xlfn.IFS(Table310[[#This Row],[Risk Score]]&gt;=85,"Critical",Table310[[#This Row],[Risk Score]]&gt;=65,"High",Table310[[#This Row],[Risk Score]]&gt;=45,"Medium",TRUE,"Low")</f>
        <v>Low</v>
      </c>
    </row>
    <row r="269" spans="1:12" x14ac:dyDescent="0.3">
      <c r="A269" t="s">
        <v>2648</v>
      </c>
      <c r="B269" t="s">
        <v>2948</v>
      </c>
      <c r="C269" t="s">
        <v>189</v>
      </c>
      <c r="D269" t="s">
        <v>249</v>
      </c>
      <c r="E269" t="s">
        <v>3590</v>
      </c>
      <c r="F269" t="s">
        <v>3654</v>
      </c>
      <c r="G269" t="s">
        <v>2374</v>
      </c>
      <c r="H269" t="s">
        <v>2374</v>
      </c>
      <c r="I269" t="s">
        <v>2374</v>
      </c>
      <c r="J269" t="str">
        <f>IF(COUNTIF(Table5[Country],Table310[Country])&gt;0,"Y","N")</f>
        <v>N</v>
      </c>
      <c r="K269">
        <f>IF(Table310[[#This Row],[Adverse Media]]="Y",15,0)+IF(Table310[[#This Row],[PEP]]="Y",50,0)+IF(Table310[[#This Row],[Sanctions]]="Y",70,0)+IF(Table310[[#This Row],[High Risk Country]]="Y",25,0)</f>
        <v>0</v>
      </c>
      <c r="L269" t="str">
        <f>_xlfn.IFS(Table310[[#This Row],[Risk Score]]&gt;=85,"Critical",Table310[[#This Row],[Risk Score]]&gt;=65,"High",Table310[[#This Row],[Risk Score]]&gt;=45,"Medium",TRUE,"Low")</f>
        <v>Low</v>
      </c>
    </row>
    <row r="270" spans="1:12" x14ac:dyDescent="0.3">
      <c r="A270" t="s">
        <v>2649</v>
      </c>
      <c r="B270" t="s">
        <v>2949</v>
      </c>
      <c r="C270" t="s">
        <v>189</v>
      </c>
      <c r="D270" t="s">
        <v>249</v>
      </c>
      <c r="E270" t="s">
        <v>2314</v>
      </c>
      <c r="F270" t="s">
        <v>3740</v>
      </c>
      <c r="G270" t="s">
        <v>2374</v>
      </c>
      <c r="H270" t="s">
        <v>2374</v>
      </c>
      <c r="I270" t="s">
        <v>2374</v>
      </c>
      <c r="J270" t="str">
        <f>IF(COUNTIF(Table5[Country],Table310[Country])&gt;0,"Y","N")</f>
        <v>N</v>
      </c>
      <c r="K270">
        <f>IF(Table310[[#This Row],[Adverse Media]]="Y",15,0)+IF(Table310[[#This Row],[PEP]]="Y",50,0)+IF(Table310[[#This Row],[Sanctions]]="Y",70,0)+IF(Table310[[#This Row],[High Risk Country]]="Y",25,0)</f>
        <v>0</v>
      </c>
      <c r="L270" t="str">
        <f>_xlfn.IFS(Table310[[#This Row],[Risk Score]]&gt;=85,"Critical",Table310[[#This Row],[Risk Score]]&gt;=65,"High",Table310[[#This Row],[Risk Score]]&gt;=45,"Medium",TRUE,"Low")</f>
        <v>Low</v>
      </c>
    </row>
    <row r="271" spans="1:12" x14ac:dyDescent="0.3">
      <c r="A271" t="s">
        <v>2650</v>
      </c>
      <c r="B271" t="s">
        <v>2950</v>
      </c>
      <c r="C271" t="s">
        <v>189</v>
      </c>
      <c r="D271" t="s">
        <v>243</v>
      </c>
      <c r="E271" t="s">
        <v>3591</v>
      </c>
      <c r="F271" t="s">
        <v>3741</v>
      </c>
      <c r="G271" t="s">
        <v>2374</v>
      </c>
      <c r="H271" t="s">
        <v>2374</v>
      </c>
      <c r="I271" t="s">
        <v>2374</v>
      </c>
      <c r="J271" t="str">
        <f>IF(COUNTIF(Table5[Country],Table310[Country])&gt;0,"Y","N")</f>
        <v>Y</v>
      </c>
      <c r="K271">
        <f>IF(Table310[[#This Row],[Adverse Media]]="Y",15,0)+IF(Table310[[#This Row],[PEP]]="Y",50,0)+IF(Table310[[#This Row],[Sanctions]]="Y",70,0)+IF(Table310[[#This Row],[High Risk Country]]="Y",25,0)</f>
        <v>25</v>
      </c>
      <c r="L271" t="str">
        <f>_xlfn.IFS(Table310[[#This Row],[Risk Score]]&gt;=85,"Critical",Table310[[#This Row],[Risk Score]]&gt;=65,"High",Table310[[#This Row],[Risk Score]]&gt;=45,"Medium",TRUE,"Low")</f>
        <v>Low</v>
      </c>
    </row>
    <row r="272" spans="1:12" x14ac:dyDescent="0.3">
      <c r="A272" t="s">
        <v>2651</v>
      </c>
      <c r="B272" t="s">
        <v>2951</v>
      </c>
      <c r="C272" t="s">
        <v>189</v>
      </c>
      <c r="D272" t="s">
        <v>243</v>
      </c>
      <c r="E272" t="s">
        <v>3592</v>
      </c>
      <c r="F272" t="s">
        <v>3549</v>
      </c>
      <c r="G272" t="s">
        <v>2374</v>
      </c>
      <c r="H272" t="s">
        <v>2374</v>
      </c>
      <c r="I272" t="s">
        <v>2374</v>
      </c>
      <c r="J272" t="str">
        <f>IF(COUNTIF(Table5[Country],Table310[Country])&gt;0,"Y","N")</f>
        <v>Y</v>
      </c>
      <c r="K272">
        <f>IF(Table310[[#This Row],[Adverse Media]]="Y",15,0)+IF(Table310[[#This Row],[PEP]]="Y",50,0)+IF(Table310[[#This Row],[Sanctions]]="Y",70,0)+IF(Table310[[#This Row],[High Risk Country]]="Y",25,0)</f>
        <v>25</v>
      </c>
      <c r="L272" t="str">
        <f>_xlfn.IFS(Table310[[#This Row],[Risk Score]]&gt;=85,"Critical",Table310[[#This Row],[Risk Score]]&gt;=65,"High",Table310[[#This Row],[Risk Score]]&gt;=45,"Medium",TRUE,"Low")</f>
        <v>Low</v>
      </c>
    </row>
    <row r="273" spans="1:12" x14ac:dyDescent="0.3">
      <c r="A273" t="s">
        <v>2652</v>
      </c>
      <c r="B273" t="s">
        <v>2952</v>
      </c>
      <c r="C273" t="s">
        <v>189</v>
      </c>
      <c r="D273" t="s">
        <v>232</v>
      </c>
      <c r="E273" t="s">
        <v>3593</v>
      </c>
      <c r="F273" t="s">
        <v>2119</v>
      </c>
      <c r="G273" t="s">
        <v>2374</v>
      </c>
      <c r="H273" t="s">
        <v>2374</v>
      </c>
      <c r="I273" t="s">
        <v>2374</v>
      </c>
      <c r="J273" t="str">
        <f>IF(COUNTIF(Table5[Country],Table310[Country])&gt;0,"Y","N")</f>
        <v>N</v>
      </c>
      <c r="K273">
        <f>IF(Table310[[#This Row],[Adverse Media]]="Y",15,0)+IF(Table310[[#This Row],[PEP]]="Y",50,0)+IF(Table310[[#This Row],[Sanctions]]="Y",70,0)+IF(Table310[[#This Row],[High Risk Country]]="Y",25,0)</f>
        <v>0</v>
      </c>
      <c r="L273" t="str">
        <f>_xlfn.IFS(Table310[[#This Row],[Risk Score]]&gt;=85,"Critical",Table310[[#This Row],[Risk Score]]&gt;=65,"High",Table310[[#This Row],[Risk Score]]&gt;=45,"Medium",TRUE,"Low")</f>
        <v>Low</v>
      </c>
    </row>
    <row r="274" spans="1:12" x14ac:dyDescent="0.3">
      <c r="A274" t="s">
        <v>2653</v>
      </c>
      <c r="B274" t="s">
        <v>2953</v>
      </c>
      <c r="C274" t="s">
        <v>189</v>
      </c>
      <c r="D274" t="s">
        <v>199</v>
      </c>
      <c r="E274" t="s">
        <v>618</v>
      </c>
      <c r="F274" t="s">
        <v>3719</v>
      </c>
      <c r="G274" t="s">
        <v>2374</v>
      </c>
      <c r="H274" t="s">
        <v>2374</v>
      </c>
      <c r="I274" t="s">
        <v>2374</v>
      </c>
      <c r="J274" t="str">
        <f>IF(COUNTIF(Table5[Country],Table310[Country])&gt;0,"Y","N")</f>
        <v>N</v>
      </c>
      <c r="K274">
        <f>IF(Table310[[#This Row],[Adverse Media]]="Y",15,0)+IF(Table310[[#This Row],[PEP]]="Y",50,0)+IF(Table310[[#This Row],[Sanctions]]="Y",70,0)+IF(Table310[[#This Row],[High Risk Country]]="Y",25,0)</f>
        <v>0</v>
      </c>
      <c r="L274" t="str">
        <f>_xlfn.IFS(Table310[[#This Row],[Risk Score]]&gt;=85,"Critical",Table310[[#This Row],[Risk Score]]&gt;=65,"High",Table310[[#This Row],[Risk Score]]&gt;=45,"Medium",TRUE,"Low")</f>
        <v>Low</v>
      </c>
    </row>
    <row r="275" spans="1:12" x14ac:dyDescent="0.3">
      <c r="A275" t="s">
        <v>2654</v>
      </c>
      <c r="B275" t="s">
        <v>2954</v>
      </c>
      <c r="C275" t="s">
        <v>189</v>
      </c>
      <c r="D275" t="s">
        <v>222</v>
      </c>
      <c r="E275" t="s">
        <v>408</v>
      </c>
      <c r="F275" t="s">
        <v>2096</v>
      </c>
      <c r="G275" t="s">
        <v>2374</v>
      </c>
      <c r="H275" t="s">
        <v>2374</v>
      </c>
      <c r="I275" t="s">
        <v>2374</v>
      </c>
      <c r="J275" t="str">
        <f>IF(COUNTIF(Table5[Country],Table310[Country])&gt;0,"Y","N")</f>
        <v>N</v>
      </c>
      <c r="K275">
        <f>IF(Table310[[#This Row],[Adverse Media]]="Y",15,0)+IF(Table310[[#This Row],[PEP]]="Y",50,0)+IF(Table310[[#This Row],[Sanctions]]="Y",70,0)+IF(Table310[[#This Row],[High Risk Country]]="Y",25,0)</f>
        <v>0</v>
      </c>
      <c r="L275" t="str">
        <f>_xlfn.IFS(Table310[[#This Row],[Risk Score]]&gt;=85,"Critical",Table310[[#This Row],[Risk Score]]&gt;=65,"High",Table310[[#This Row],[Risk Score]]&gt;=45,"Medium",TRUE,"Low")</f>
        <v>Low</v>
      </c>
    </row>
    <row r="276" spans="1:12" x14ac:dyDescent="0.3">
      <c r="A276" t="s">
        <v>2655</v>
      </c>
      <c r="B276" t="s">
        <v>2955</v>
      </c>
      <c r="C276" t="s">
        <v>189</v>
      </c>
      <c r="D276" t="s">
        <v>248</v>
      </c>
      <c r="E276" t="s">
        <v>465</v>
      </c>
      <c r="F276" t="s">
        <v>259</v>
      </c>
      <c r="G276" t="s">
        <v>2374</v>
      </c>
      <c r="H276" t="s">
        <v>2374</v>
      </c>
      <c r="I276" t="s">
        <v>2374</v>
      </c>
      <c r="J276" t="str">
        <f>IF(COUNTIF(Table5[Country],Table310[Country])&gt;0,"Y","N")</f>
        <v>N</v>
      </c>
      <c r="K276">
        <f>IF(Table310[[#This Row],[Adverse Media]]="Y",15,0)+IF(Table310[[#This Row],[PEP]]="Y",50,0)+IF(Table310[[#This Row],[Sanctions]]="Y",70,0)+IF(Table310[[#This Row],[High Risk Country]]="Y",25,0)</f>
        <v>0</v>
      </c>
      <c r="L276" t="str">
        <f>_xlfn.IFS(Table310[[#This Row],[Risk Score]]&gt;=85,"Critical",Table310[[#This Row],[Risk Score]]&gt;=65,"High",Table310[[#This Row],[Risk Score]]&gt;=45,"Medium",TRUE,"Low")</f>
        <v>Low</v>
      </c>
    </row>
    <row r="277" spans="1:12" x14ac:dyDescent="0.3">
      <c r="A277" t="s">
        <v>2656</v>
      </c>
      <c r="B277" t="s">
        <v>2956</v>
      </c>
      <c r="C277" t="s">
        <v>189</v>
      </c>
      <c r="D277" t="s">
        <v>204</v>
      </c>
      <c r="E277" t="s">
        <v>3594</v>
      </c>
      <c r="F277" t="s">
        <v>3304</v>
      </c>
      <c r="G277" t="s">
        <v>2374</v>
      </c>
      <c r="H277" t="s">
        <v>2374</v>
      </c>
      <c r="I277" t="s">
        <v>2374</v>
      </c>
      <c r="J277" t="str">
        <f>IF(COUNTIF(Table5[Country],Table310[Country])&gt;0,"Y","N")</f>
        <v>Y</v>
      </c>
      <c r="K277">
        <f>IF(Table310[[#This Row],[Adverse Media]]="Y",15,0)+IF(Table310[[#This Row],[PEP]]="Y",50,0)+IF(Table310[[#This Row],[Sanctions]]="Y",70,0)+IF(Table310[[#This Row],[High Risk Country]]="Y",25,0)</f>
        <v>25</v>
      </c>
      <c r="L277" t="str">
        <f>_xlfn.IFS(Table310[[#This Row],[Risk Score]]&gt;=85,"Critical",Table310[[#This Row],[Risk Score]]&gt;=65,"High",Table310[[#This Row],[Risk Score]]&gt;=45,"Medium",TRUE,"Low")</f>
        <v>Low</v>
      </c>
    </row>
    <row r="278" spans="1:12" x14ac:dyDescent="0.3">
      <c r="A278" t="s">
        <v>2657</v>
      </c>
      <c r="B278" t="s">
        <v>2957</v>
      </c>
      <c r="C278" t="s">
        <v>189</v>
      </c>
      <c r="D278" t="s">
        <v>229</v>
      </c>
      <c r="E278" t="s">
        <v>3373</v>
      </c>
      <c r="F278" t="s">
        <v>446</v>
      </c>
      <c r="G278" t="s">
        <v>2374</v>
      </c>
      <c r="H278" t="s">
        <v>2374</v>
      </c>
      <c r="I278" t="s">
        <v>2374</v>
      </c>
      <c r="J278" t="str">
        <f>IF(COUNTIF(Table5[Country],Table310[Country])&gt;0,"Y","N")</f>
        <v>N</v>
      </c>
      <c r="K278">
        <f>IF(Table310[[#This Row],[Adverse Media]]="Y",15,0)+IF(Table310[[#This Row],[PEP]]="Y",50,0)+IF(Table310[[#This Row],[Sanctions]]="Y",70,0)+IF(Table310[[#This Row],[High Risk Country]]="Y",25,0)</f>
        <v>0</v>
      </c>
      <c r="L278" t="str">
        <f>_xlfn.IFS(Table310[[#This Row],[Risk Score]]&gt;=85,"Critical",Table310[[#This Row],[Risk Score]]&gt;=65,"High",Table310[[#This Row],[Risk Score]]&gt;=45,"Medium",TRUE,"Low")</f>
        <v>Low</v>
      </c>
    </row>
    <row r="279" spans="1:12" x14ac:dyDescent="0.3">
      <c r="A279" t="s">
        <v>2658</v>
      </c>
      <c r="B279" t="s">
        <v>2958</v>
      </c>
      <c r="C279" t="s">
        <v>189</v>
      </c>
      <c r="D279" t="s">
        <v>207</v>
      </c>
      <c r="E279" t="s">
        <v>3595</v>
      </c>
      <c r="F279" t="s">
        <v>2089</v>
      </c>
      <c r="G279" t="s">
        <v>2374</v>
      </c>
      <c r="H279" t="s">
        <v>2374</v>
      </c>
      <c r="I279" t="s">
        <v>2374</v>
      </c>
      <c r="J279" t="str">
        <f>IF(COUNTIF(Table5[Country],Table310[Country])&gt;0,"Y","N")</f>
        <v>Y</v>
      </c>
      <c r="K279">
        <f>IF(Table310[[#This Row],[Adverse Media]]="Y",15,0)+IF(Table310[[#This Row],[PEP]]="Y",50,0)+IF(Table310[[#This Row],[Sanctions]]="Y",70,0)+IF(Table310[[#This Row],[High Risk Country]]="Y",25,0)</f>
        <v>25</v>
      </c>
      <c r="L279" t="str">
        <f>_xlfn.IFS(Table310[[#This Row],[Risk Score]]&gt;=85,"Critical",Table310[[#This Row],[Risk Score]]&gt;=65,"High",Table310[[#This Row],[Risk Score]]&gt;=45,"Medium",TRUE,"Low")</f>
        <v>Low</v>
      </c>
    </row>
    <row r="280" spans="1:12" x14ac:dyDescent="0.3">
      <c r="A280" t="s">
        <v>2659</v>
      </c>
      <c r="B280" t="s">
        <v>2959</v>
      </c>
      <c r="C280" t="s">
        <v>189</v>
      </c>
      <c r="D280" t="s">
        <v>228</v>
      </c>
      <c r="E280" t="s">
        <v>2187</v>
      </c>
      <c r="F280" t="s">
        <v>3742</v>
      </c>
      <c r="G280" t="s">
        <v>2374</v>
      </c>
      <c r="H280" t="s">
        <v>2374</v>
      </c>
      <c r="I280" t="s">
        <v>2374</v>
      </c>
      <c r="J280" t="str">
        <f>IF(COUNTIF(Table5[Country],Table310[Country])&gt;0,"Y","N")</f>
        <v>N</v>
      </c>
      <c r="K280">
        <f>IF(Table310[[#This Row],[Adverse Media]]="Y",15,0)+IF(Table310[[#This Row],[PEP]]="Y",50,0)+IF(Table310[[#This Row],[Sanctions]]="Y",70,0)+IF(Table310[[#This Row],[High Risk Country]]="Y",25,0)</f>
        <v>0</v>
      </c>
      <c r="L280" t="str">
        <f>_xlfn.IFS(Table310[[#This Row],[Risk Score]]&gt;=85,"Critical",Table310[[#This Row],[Risk Score]]&gt;=65,"High",Table310[[#This Row],[Risk Score]]&gt;=45,"Medium",TRUE,"Low")</f>
        <v>Low</v>
      </c>
    </row>
    <row r="281" spans="1:12" x14ac:dyDescent="0.3">
      <c r="A281" t="s">
        <v>2660</v>
      </c>
      <c r="B281" t="s">
        <v>2960</v>
      </c>
      <c r="C281" t="s">
        <v>189</v>
      </c>
      <c r="D281" t="s">
        <v>204</v>
      </c>
      <c r="E281" t="s">
        <v>574</v>
      </c>
      <c r="F281" t="s">
        <v>3743</v>
      </c>
      <c r="G281" t="s">
        <v>2374</v>
      </c>
      <c r="H281" t="s">
        <v>2374</v>
      </c>
      <c r="I281" t="s">
        <v>2374</v>
      </c>
      <c r="J281" t="str">
        <f>IF(COUNTIF(Table5[Country],Table310[Country])&gt;0,"Y","N")</f>
        <v>Y</v>
      </c>
      <c r="K281">
        <f>IF(Table310[[#This Row],[Adverse Media]]="Y",15,0)+IF(Table310[[#This Row],[PEP]]="Y",50,0)+IF(Table310[[#This Row],[Sanctions]]="Y",70,0)+IF(Table310[[#This Row],[High Risk Country]]="Y",25,0)</f>
        <v>25</v>
      </c>
      <c r="L281" t="str">
        <f>_xlfn.IFS(Table310[[#This Row],[Risk Score]]&gt;=85,"Critical",Table310[[#This Row],[Risk Score]]&gt;=65,"High",Table310[[#This Row],[Risk Score]]&gt;=45,"Medium",TRUE,"Low")</f>
        <v>Low</v>
      </c>
    </row>
    <row r="282" spans="1:12" x14ac:dyDescent="0.3">
      <c r="A282" t="s">
        <v>2661</v>
      </c>
      <c r="B282" t="s">
        <v>2961</v>
      </c>
      <c r="C282" t="s">
        <v>189</v>
      </c>
      <c r="D282" t="s">
        <v>204</v>
      </c>
      <c r="E282" t="s">
        <v>3596</v>
      </c>
      <c r="F282" t="s">
        <v>3744</v>
      </c>
      <c r="G282" t="s">
        <v>2374</v>
      </c>
      <c r="H282" t="s">
        <v>2374</v>
      </c>
      <c r="I282" t="s">
        <v>2375</v>
      </c>
      <c r="J282" t="str">
        <f>IF(COUNTIF(Table5[Country],Table310[Country])&gt;0,"Y","N")</f>
        <v>Y</v>
      </c>
      <c r="K282">
        <f>IF(Table310[[#This Row],[Adverse Media]]="Y",15,0)+IF(Table310[[#This Row],[PEP]]="Y",50,0)+IF(Table310[[#This Row],[Sanctions]]="Y",70,0)+IF(Table310[[#This Row],[High Risk Country]]="Y",25,0)</f>
        <v>95</v>
      </c>
      <c r="L282" t="str">
        <f>_xlfn.IFS(Table310[[#This Row],[Risk Score]]&gt;=85,"Critical",Table310[[#This Row],[Risk Score]]&gt;=65,"High",Table310[[#This Row],[Risk Score]]&gt;=45,"Medium",TRUE,"Low")</f>
        <v>Critical</v>
      </c>
    </row>
    <row r="283" spans="1:12" x14ac:dyDescent="0.3">
      <c r="A283" t="s">
        <v>2662</v>
      </c>
      <c r="B283" t="s">
        <v>2962</v>
      </c>
      <c r="C283" t="s">
        <v>189</v>
      </c>
      <c r="D283" t="s">
        <v>229</v>
      </c>
      <c r="E283" t="s">
        <v>3597</v>
      </c>
      <c r="F283" t="s">
        <v>2289</v>
      </c>
      <c r="G283" t="s">
        <v>2374</v>
      </c>
      <c r="H283" t="s">
        <v>2374</v>
      </c>
      <c r="I283" t="s">
        <v>2375</v>
      </c>
      <c r="J283" t="str">
        <f>IF(COUNTIF(Table5[Country],Table310[Country])&gt;0,"Y","N")</f>
        <v>N</v>
      </c>
      <c r="K283">
        <f>IF(Table310[[#This Row],[Adverse Media]]="Y",15,0)+IF(Table310[[#This Row],[PEP]]="Y",50,0)+IF(Table310[[#This Row],[Sanctions]]="Y",70,0)+IF(Table310[[#This Row],[High Risk Country]]="Y",25,0)</f>
        <v>70</v>
      </c>
      <c r="L283" t="str">
        <f>_xlfn.IFS(Table310[[#This Row],[Risk Score]]&gt;=85,"Critical",Table310[[#This Row],[Risk Score]]&gt;=65,"High",Table310[[#This Row],[Risk Score]]&gt;=45,"Medium",TRUE,"Low")</f>
        <v>High</v>
      </c>
    </row>
    <row r="284" spans="1:12" x14ac:dyDescent="0.3">
      <c r="A284" t="s">
        <v>2663</v>
      </c>
      <c r="B284" t="s">
        <v>2963</v>
      </c>
      <c r="C284" t="s">
        <v>189</v>
      </c>
      <c r="D284" t="s">
        <v>229</v>
      </c>
      <c r="E284" t="s">
        <v>3598</v>
      </c>
      <c r="F284" t="s">
        <v>3745</v>
      </c>
      <c r="G284" t="s">
        <v>2374</v>
      </c>
      <c r="H284" t="s">
        <v>2374</v>
      </c>
      <c r="I284" t="s">
        <v>2375</v>
      </c>
      <c r="J284" t="str">
        <f>IF(COUNTIF(Table5[Country],Table310[Country])&gt;0,"Y","N")</f>
        <v>N</v>
      </c>
      <c r="K284">
        <f>IF(Table310[[#This Row],[Adverse Media]]="Y",15,0)+IF(Table310[[#This Row],[PEP]]="Y",50,0)+IF(Table310[[#This Row],[Sanctions]]="Y",70,0)+IF(Table310[[#This Row],[High Risk Country]]="Y",25,0)</f>
        <v>70</v>
      </c>
      <c r="L284" t="str">
        <f>_xlfn.IFS(Table310[[#This Row],[Risk Score]]&gt;=85,"Critical",Table310[[#This Row],[Risk Score]]&gt;=65,"High",Table310[[#This Row],[Risk Score]]&gt;=45,"Medium",TRUE,"Low")</f>
        <v>High</v>
      </c>
    </row>
    <row r="285" spans="1:12" x14ac:dyDescent="0.3">
      <c r="A285" t="s">
        <v>2664</v>
      </c>
      <c r="B285" t="s">
        <v>2964</v>
      </c>
      <c r="C285" t="s">
        <v>189</v>
      </c>
      <c r="D285" t="s">
        <v>204</v>
      </c>
      <c r="E285" t="s">
        <v>3599</v>
      </c>
      <c r="F285" t="s">
        <v>269</v>
      </c>
      <c r="G285" t="s">
        <v>2374</v>
      </c>
      <c r="H285" t="s">
        <v>2374</v>
      </c>
      <c r="I285" t="s">
        <v>2375</v>
      </c>
      <c r="J285" t="str">
        <f>IF(COUNTIF(Table5[Country],Table310[Country])&gt;0,"Y","N")</f>
        <v>Y</v>
      </c>
      <c r="K285">
        <f>IF(Table310[[#This Row],[Adverse Media]]="Y",15,0)+IF(Table310[[#This Row],[PEP]]="Y",50,0)+IF(Table310[[#This Row],[Sanctions]]="Y",70,0)+IF(Table310[[#This Row],[High Risk Country]]="Y",25,0)</f>
        <v>95</v>
      </c>
      <c r="L285" t="str">
        <f>_xlfn.IFS(Table310[[#This Row],[Risk Score]]&gt;=85,"Critical",Table310[[#This Row],[Risk Score]]&gt;=65,"High",Table310[[#This Row],[Risk Score]]&gt;=45,"Medium",TRUE,"Low")</f>
        <v>Critical</v>
      </c>
    </row>
    <row r="286" spans="1:12" x14ac:dyDescent="0.3">
      <c r="A286" t="s">
        <v>2665</v>
      </c>
      <c r="B286" t="s">
        <v>2965</v>
      </c>
      <c r="C286" t="s">
        <v>189</v>
      </c>
      <c r="D286" t="s">
        <v>190</v>
      </c>
      <c r="E286" t="s">
        <v>3600</v>
      </c>
      <c r="F286" t="s">
        <v>3746</v>
      </c>
      <c r="G286" t="s">
        <v>2374</v>
      </c>
      <c r="H286" t="s">
        <v>2374</v>
      </c>
      <c r="I286" t="s">
        <v>2375</v>
      </c>
      <c r="J286" t="str">
        <f>IF(COUNTIF(Table5[Country],Table310[Country])&gt;0,"Y","N")</f>
        <v>N</v>
      </c>
      <c r="K286">
        <f>IF(Table310[[#This Row],[Adverse Media]]="Y",15,0)+IF(Table310[[#This Row],[PEP]]="Y",50,0)+IF(Table310[[#This Row],[Sanctions]]="Y",70,0)+IF(Table310[[#This Row],[High Risk Country]]="Y",25,0)</f>
        <v>70</v>
      </c>
      <c r="L286" t="str">
        <f>_xlfn.IFS(Table310[[#This Row],[Risk Score]]&gt;=85,"Critical",Table310[[#This Row],[Risk Score]]&gt;=65,"High",Table310[[#This Row],[Risk Score]]&gt;=45,"Medium",TRUE,"Low")</f>
        <v>High</v>
      </c>
    </row>
    <row r="287" spans="1:12" x14ac:dyDescent="0.3">
      <c r="A287" t="s">
        <v>2666</v>
      </c>
      <c r="B287" t="s">
        <v>2966</v>
      </c>
      <c r="C287" t="s">
        <v>189</v>
      </c>
      <c r="D287" t="s">
        <v>239</v>
      </c>
      <c r="E287" t="s">
        <v>3601</v>
      </c>
      <c r="F287" t="s">
        <v>3747</v>
      </c>
      <c r="G287" t="s">
        <v>2374</v>
      </c>
      <c r="H287" t="s">
        <v>2374</v>
      </c>
      <c r="I287" t="s">
        <v>2374</v>
      </c>
      <c r="J287" t="str">
        <f>IF(COUNTIF(Table5[Country],Table310[Country])&gt;0,"Y","N")</f>
        <v>N</v>
      </c>
      <c r="K287">
        <f>IF(Table310[[#This Row],[Adverse Media]]="Y",15,0)+IF(Table310[[#This Row],[PEP]]="Y",50,0)+IF(Table310[[#This Row],[Sanctions]]="Y",70,0)+IF(Table310[[#This Row],[High Risk Country]]="Y",25,0)</f>
        <v>0</v>
      </c>
      <c r="L287" t="str">
        <f>_xlfn.IFS(Table310[[#This Row],[Risk Score]]&gt;=85,"Critical",Table310[[#This Row],[Risk Score]]&gt;=65,"High",Table310[[#This Row],[Risk Score]]&gt;=45,"Medium",TRUE,"Low")</f>
        <v>Low</v>
      </c>
    </row>
    <row r="288" spans="1:12" x14ac:dyDescent="0.3">
      <c r="A288" t="s">
        <v>2667</v>
      </c>
      <c r="B288" t="s">
        <v>2967</v>
      </c>
      <c r="C288" t="s">
        <v>189</v>
      </c>
      <c r="D288" t="s">
        <v>210</v>
      </c>
      <c r="E288" t="s">
        <v>3602</v>
      </c>
      <c r="F288" t="s">
        <v>3460</v>
      </c>
      <c r="G288" t="s">
        <v>2374</v>
      </c>
      <c r="H288" t="s">
        <v>2374</v>
      </c>
      <c r="I288" t="s">
        <v>2375</v>
      </c>
      <c r="J288" t="str">
        <f>IF(COUNTIF(Table5[Country],Table310[Country])&gt;0,"Y","N")</f>
        <v>N</v>
      </c>
      <c r="K288">
        <f>IF(Table310[[#This Row],[Adverse Media]]="Y",15,0)+IF(Table310[[#This Row],[PEP]]="Y",50,0)+IF(Table310[[#This Row],[Sanctions]]="Y",70,0)+IF(Table310[[#This Row],[High Risk Country]]="Y",25,0)</f>
        <v>70</v>
      </c>
      <c r="L288" t="str">
        <f>_xlfn.IFS(Table310[[#This Row],[Risk Score]]&gt;=85,"Critical",Table310[[#This Row],[Risk Score]]&gt;=65,"High",Table310[[#This Row],[Risk Score]]&gt;=45,"Medium",TRUE,"Low")</f>
        <v>High</v>
      </c>
    </row>
    <row r="289" spans="1:12" x14ac:dyDescent="0.3">
      <c r="A289" t="s">
        <v>2668</v>
      </c>
      <c r="B289" t="s">
        <v>2968</v>
      </c>
      <c r="C289" t="s">
        <v>189</v>
      </c>
      <c r="D289" t="s">
        <v>224</v>
      </c>
      <c r="E289" t="s">
        <v>451</v>
      </c>
      <c r="F289" t="s">
        <v>3748</v>
      </c>
      <c r="G289" t="s">
        <v>2374</v>
      </c>
      <c r="H289" t="s">
        <v>2374</v>
      </c>
      <c r="I289" t="s">
        <v>2375</v>
      </c>
      <c r="J289" t="str">
        <f>IF(COUNTIF(Table5[Country],Table310[Country])&gt;0,"Y","N")</f>
        <v>Y</v>
      </c>
      <c r="K289">
        <f>IF(Table310[[#This Row],[Adverse Media]]="Y",15,0)+IF(Table310[[#This Row],[PEP]]="Y",50,0)+IF(Table310[[#This Row],[Sanctions]]="Y",70,0)+IF(Table310[[#This Row],[High Risk Country]]="Y",25,0)</f>
        <v>95</v>
      </c>
      <c r="L289" t="str">
        <f>_xlfn.IFS(Table310[[#This Row],[Risk Score]]&gt;=85,"Critical",Table310[[#This Row],[Risk Score]]&gt;=65,"High",Table310[[#This Row],[Risk Score]]&gt;=45,"Medium",TRUE,"Low")</f>
        <v>Critical</v>
      </c>
    </row>
    <row r="290" spans="1:12" x14ac:dyDescent="0.3">
      <c r="A290" t="s">
        <v>2669</v>
      </c>
      <c r="B290" t="s">
        <v>2969</v>
      </c>
      <c r="C290" t="s">
        <v>189</v>
      </c>
      <c r="D290" t="s">
        <v>244</v>
      </c>
      <c r="E290" t="s">
        <v>2145</v>
      </c>
      <c r="F290" t="s">
        <v>3749</v>
      </c>
      <c r="G290" t="s">
        <v>2374</v>
      </c>
      <c r="H290" t="s">
        <v>2374</v>
      </c>
      <c r="I290" t="s">
        <v>2374</v>
      </c>
      <c r="J290" t="str">
        <f>IF(COUNTIF(Table5[Country],Table310[Country])&gt;0,"Y","N")</f>
        <v>Y</v>
      </c>
      <c r="K290">
        <f>IF(Table310[[#This Row],[Adverse Media]]="Y",15,0)+IF(Table310[[#This Row],[PEP]]="Y",50,0)+IF(Table310[[#This Row],[Sanctions]]="Y",70,0)+IF(Table310[[#This Row],[High Risk Country]]="Y",25,0)</f>
        <v>25</v>
      </c>
      <c r="L290" t="str">
        <f>_xlfn.IFS(Table310[[#This Row],[Risk Score]]&gt;=85,"Critical",Table310[[#This Row],[Risk Score]]&gt;=65,"High",Table310[[#This Row],[Risk Score]]&gt;=45,"Medium",TRUE,"Low")</f>
        <v>Low</v>
      </c>
    </row>
    <row r="291" spans="1:12" x14ac:dyDescent="0.3">
      <c r="A291" t="s">
        <v>2670</v>
      </c>
      <c r="B291" t="s">
        <v>2970</v>
      </c>
      <c r="C291" t="s">
        <v>189</v>
      </c>
      <c r="D291" t="s">
        <v>206</v>
      </c>
      <c r="E291" t="s">
        <v>324</v>
      </c>
      <c r="F291" t="s">
        <v>323</v>
      </c>
      <c r="G291" t="s">
        <v>2374</v>
      </c>
      <c r="H291" t="s">
        <v>2374</v>
      </c>
      <c r="I291" t="s">
        <v>2375</v>
      </c>
      <c r="J291" t="str">
        <f>IF(COUNTIF(Table5[Country],Table310[Country])&gt;0,"Y","N")</f>
        <v>Y</v>
      </c>
      <c r="K291">
        <f>IF(Table310[[#This Row],[Adverse Media]]="Y",15,0)+IF(Table310[[#This Row],[PEP]]="Y",50,0)+IF(Table310[[#This Row],[Sanctions]]="Y",70,0)+IF(Table310[[#This Row],[High Risk Country]]="Y",25,0)</f>
        <v>95</v>
      </c>
      <c r="L291" t="str">
        <f>_xlfn.IFS(Table310[[#This Row],[Risk Score]]&gt;=85,"Critical",Table310[[#This Row],[Risk Score]]&gt;=65,"High",Table310[[#This Row],[Risk Score]]&gt;=45,"Medium",TRUE,"Low")</f>
        <v>Critical</v>
      </c>
    </row>
    <row r="292" spans="1:12" x14ac:dyDescent="0.3">
      <c r="A292" t="s">
        <v>2671</v>
      </c>
      <c r="B292" t="s">
        <v>2971</v>
      </c>
      <c r="C292" t="s">
        <v>189</v>
      </c>
      <c r="D292" t="s">
        <v>210</v>
      </c>
      <c r="E292" t="s">
        <v>3461</v>
      </c>
      <c r="F292" t="s">
        <v>3750</v>
      </c>
      <c r="G292" t="s">
        <v>2375</v>
      </c>
      <c r="H292" t="s">
        <v>2374</v>
      </c>
      <c r="I292" t="s">
        <v>2374</v>
      </c>
      <c r="J292" t="str">
        <f>IF(COUNTIF(Table5[Country],Table310[Country])&gt;0,"Y","N")</f>
        <v>N</v>
      </c>
      <c r="K292">
        <f>IF(Table310[[#This Row],[Adverse Media]]="Y",15,0)+IF(Table310[[#This Row],[PEP]]="Y",50,0)+IF(Table310[[#This Row],[Sanctions]]="Y",70,0)+IF(Table310[[#This Row],[High Risk Country]]="Y",25,0)</f>
        <v>15</v>
      </c>
      <c r="L292" t="str">
        <f>_xlfn.IFS(Table310[[#This Row],[Risk Score]]&gt;=85,"Critical",Table310[[#This Row],[Risk Score]]&gt;=65,"High",Table310[[#This Row],[Risk Score]]&gt;=45,"Medium",TRUE,"Low")</f>
        <v>Low</v>
      </c>
    </row>
    <row r="293" spans="1:12" x14ac:dyDescent="0.3">
      <c r="A293" t="s">
        <v>2672</v>
      </c>
      <c r="B293" t="s">
        <v>2972</v>
      </c>
      <c r="C293" t="s">
        <v>189</v>
      </c>
      <c r="D293" t="s">
        <v>193</v>
      </c>
      <c r="E293" t="s">
        <v>360</v>
      </c>
      <c r="F293" t="s">
        <v>3751</v>
      </c>
      <c r="G293" t="s">
        <v>2375</v>
      </c>
      <c r="H293" t="s">
        <v>2375</v>
      </c>
      <c r="I293" t="s">
        <v>2374</v>
      </c>
      <c r="J293" t="str">
        <f>IF(COUNTIF(Table5[Country],Table310[Country])&gt;0,"Y","N")</f>
        <v>Y</v>
      </c>
      <c r="K293">
        <f>IF(Table310[[#This Row],[Adverse Media]]="Y",15,0)+IF(Table310[[#This Row],[PEP]]="Y",50,0)+IF(Table310[[#This Row],[Sanctions]]="Y",70,0)+IF(Table310[[#This Row],[High Risk Country]]="Y",25,0)</f>
        <v>90</v>
      </c>
      <c r="L293" t="str">
        <f>_xlfn.IFS(Table310[[#This Row],[Risk Score]]&gt;=85,"Critical",Table310[[#This Row],[Risk Score]]&gt;=65,"High",Table310[[#This Row],[Risk Score]]&gt;=45,"Medium",TRUE,"Low")</f>
        <v>Critical</v>
      </c>
    </row>
    <row r="294" spans="1:12" x14ac:dyDescent="0.3">
      <c r="A294" t="s">
        <v>2673</v>
      </c>
      <c r="B294" t="s">
        <v>2973</v>
      </c>
      <c r="C294" t="s">
        <v>189</v>
      </c>
      <c r="D294" t="s">
        <v>241</v>
      </c>
      <c r="E294" t="s">
        <v>3603</v>
      </c>
      <c r="F294" t="s">
        <v>3752</v>
      </c>
      <c r="G294" t="s">
        <v>2375</v>
      </c>
      <c r="H294" t="s">
        <v>2374</v>
      </c>
      <c r="I294" t="s">
        <v>2375</v>
      </c>
      <c r="J294" t="str">
        <f>IF(COUNTIF(Table5[Country],Table310[Country])&gt;0,"Y","N")</f>
        <v>N</v>
      </c>
      <c r="K294">
        <f>IF(Table310[[#This Row],[Adverse Media]]="Y",15,0)+IF(Table310[[#This Row],[PEP]]="Y",50,0)+IF(Table310[[#This Row],[Sanctions]]="Y",70,0)+IF(Table310[[#This Row],[High Risk Country]]="Y",25,0)</f>
        <v>85</v>
      </c>
      <c r="L294" t="str">
        <f>_xlfn.IFS(Table310[[#This Row],[Risk Score]]&gt;=85,"Critical",Table310[[#This Row],[Risk Score]]&gt;=65,"High",Table310[[#This Row],[Risk Score]]&gt;=45,"Medium",TRUE,"Low")</f>
        <v>Critical</v>
      </c>
    </row>
    <row r="295" spans="1:12" x14ac:dyDescent="0.3">
      <c r="A295" t="s">
        <v>2674</v>
      </c>
      <c r="B295" t="s">
        <v>2974</v>
      </c>
      <c r="C295" t="s">
        <v>189</v>
      </c>
      <c r="D295" t="s">
        <v>226</v>
      </c>
      <c r="E295" t="s">
        <v>3481</v>
      </c>
      <c r="F295" t="s">
        <v>3753</v>
      </c>
      <c r="G295" t="s">
        <v>2375</v>
      </c>
      <c r="H295" t="s">
        <v>2374</v>
      </c>
      <c r="I295" t="s">
        <v>2374</v>
      </c>
      <c r="J295" t="str">
        <f>IF(COUNTIF(Table5[Country],Table310[Country])&gt;0,"Y","N")</f>
        <v>N</v>
      </c>
      <c r="K295">
        <f>IF(Table310[[#This Row],[Adverse Media]]="Y",15,0)+IF(Table310[[#This Row],[PEP]]="Y",50,0)+IF(Table310[[#This Row],[Sanctions]]="Y",70,0)+IF(Table310[[#This Row],[High Risk Country]]="Y",25,0)</f>
        <v>15</v>
      </c>
      <c r="L295" t="str">
        <f>_xlfn.IFS(Table310[[#This Row],[Risk Score]]&gt;=85,"Critical",Table310[[#This Row],[Risk Score]]&gt;=65,"High",Table310[[#This Row],[Risk Score]]&gt;=45,"Medium",TRUE,"Low")</f>
        <v>Low</v>
      </c>
    </row>
    <row r="296" spans="1:12" x14ac:dyDescent="0.3">
      <c r="A296" t="s">
        <v>2675</v>
      </c>
      <c r="B296" t="s">
        <v>2975</v>
      </c>
      <c r="C296" t="s">
        <v>189</v>
      </c>
      <c r="D296" t="s">
        <v>224</v>
      </c>
      <c r="E296" t="s">
        <v>3604</v>
      </c>
      <c r="F296" t="s">
        <v>2370</v>
      </c>
      <c r="G296" t="s">
        <v>2374</v>
      </c>
      <c r="H296" t="s">
        <v>2374</v>
      </c>
      <c r="I296" t="s">
        <v>2375</v>
      </c>
      <c r="J296" t="str">
        <f>IF(COUNTIF(Table5[Country],Table310[Country])&gt;0,"Y","N")</f>
        <v>Y</v>
      </c>
      <c r="K296">
        <f>IF(Table310[[#This Row],[Adverse Media]]="Y",15,0)+IF(Table310[[#This Row],[PEP]]="Y",50,0)+IF(Table310[[#This Row],[Sanctions]]="Y",70,0)+IF(Table310[[#This Row],[High Risk Country]]="Y",25,0)</f>
        <v>95</v>
      </c>
      <c r="L296" t="str">
        <f>_xlfn.IFS(Table310[[#This Row],[Risk Score]]&gt;=85,"Critical",Table310[[#This Row],[Risk Score]]&gt;=65,"High",Table310[[#This Row],[Risk Score]]&gt;=45,"Medium",TRUE,"Low")</f>
        <v>Critical</v>
      </c>
    </row>
    <row r="297" spans="1:12" x14ac:dyDescent="0.3">
      <c r="A297" t="s">
        <v>2676</v>
      </c>
      <c r="B297" t="s">
        <v>2976</v>
      </c>
      <c r="C297" t="s">
        <v>189</v>
      </c>
      <c r="D297" t="s">
        <v>239</v>
      </c>
      <c r="E297" t="s">
        <v>2122</v>
      </c>
      <c r="F297" t="s">
        <v>622</v>
      </c>
      <c r="G297" t="s">
        <v>2375</v>
      </c>
      <c r="H297" t="s">
        <v>2375</v>
      </c>
      <c r="I297" t="s">
        <v>2374</v>
      </c>
      <c r="J297" t="str">
        <f>IF(COUNTIF(Table5[Country],Table310[Country])&gt;0,"Y","N")</f>
        <v>N</v>
      </c>
      <c r="K297">
        <f>IF(Table310[[#This Row],[Adverse Media]]="Y",15,0)+IF(Table310[[#This Row],[PEP]]="Y",50,0)+IF(Table310[[#This Row],[Sanctions]]="Y",70,0)+IF(Table310[[#This Row],[High Risk Country]]="Y",25,0)</f>
        <v>65</v>
      </c>
      <c r="L297" t="str">
        <f>_xlfn.IFS(Table310[[#This Row],[Risk Score]]&gt;=85,"Critical",Table310[[#This Row],[Risk Score]]&gt;=65,"High",Table310[[#This Row],[Risk Score]]&gt;=45,"Medium",TRUE,"Low")</f>
        <v>High</v>
      </c>
    </row>
    <row r="298" spans="1:12" x14ac:dyDescent="0.3">
      <c r="A298" t="s">
        <v>2677</v>
      </c>
      <c r="B298" t="s">
        <v>2977</v>
      </c>
      <c r="C298" t="s">
        <v>189</v>
      </c>
      <c r="D298" t="s">
        <v>222</v>
      </c>
      <c r="E298" t="s">
        <v>3605</v>
      </c>
      <c r="F298" t="s">
        <v>3754</v>
      </c>
      <c r="G298" t="s">
        <v>2375</v>
      </c>
      <c r="H298" t="s">
        <v>2374</v>
      </c>
      <c r="I298" t="s">
        <v>2374</v>
      </c>
      <c r="J298" t="str">
        <f>IF(COUNTIF(Table5[Country],Table310[Country])&gt;0,"Y","N")</f>
        <v>N</v>
      </c>
      <c r="K298">
        <f>IF(Table310[[#This Row],[Adverse Media]]="Y",15,0)+IF(Table310[[#This Row],[PEP]]="Y",50,0)+IF(Table310[[#This Row],[Sanctions]]="Y",70,0)+IF(Table310[[#This Row],[High Risk Country]]="Y",25,0)</f>
        <v>15</v>
      </c>
      <c r="L298" t="str">
        <f>_xlfn.IFS(Table310[[#This Row],[Risk Score]]&gt;=85,"Critical",Table310[[#This Row],[Risk Score]]&gt;=65,"High",Table310[[#This Row],[Risk Score]]&gt;=45,"Medium",TRUE,"Low")</f>
        <v>Low</v>
      </c>
    </row>
    <row r="299" spans="1:12" x14ac:dyDescent="0.3">
      <c r="A299" t="s">
        <v>2678</v>
      </c>
      <c r="B299" t="s">
        <v>2978</v>
      </c>
      <c r="C299" t="s">
        <v>189</v>
      </c>
      <c r="D299" t="s">
        <v>234</v>
      </c>
      <c r="E299" t="s">
        <v>403</v>
      </c>
      <c r="F299" t="s">
        <v>3755</v>
      </c>
      <c r="G299" t="s">
        <v>2374</v>
      </c>
      <c r="H299" t="s">
        <v>2375</v>
      </c>
      <c r="I299" t="s">
        <v>2374</v>
      </c>
      <c r="J299" t="str">
        <f>IF(COUNTIF(Table5[Country],Table310[Country])&gt;0,"Y","N")</f>
        <v>Y</v>
      </c>
      <c r="K299">
        <f>IF(Table310[[#This Row],[Adverse Media]]="Y",15,0)+IF(Table310[[#This Row],[PEP]]="Y",50,0)+IF(Table310[[#This Row],[Sanctions]]="Y",70,0)+IF(Table310[[#This Row],[High Risk Country]]="Y",25,0)</f>
        <v>75</v>
      </c>
      <c r="L299" t="str">
        <f>_xlfn.IFS(Table310[[#This Row],[Risk Score]]&gt;=85,"Critical",Table310[[#This Row],[Risk Score]]&gt;=65,"High",Table310[[#This Row],[Risk Score]]&gt;=45,"Medium",TRUE,"Low")</f>
        <v>High</v>
      </c>
    </row>
    <row r="300" spans="1:12" x14ac:dyDescent="0.3">
      <c r="A300" t="s">
        <v>2679</v>
      </c>
      <c r="B300" t="s">
        <v>2979</v>
      </c>
      <c r="C300" t="s">
        <v>189</v>
      </c>
      <c r="D300" t="s">
        <v>205</v>
      </c>
      <c r="E300" t="s">
        <v>2089</v>
      </c>
      <c r="F300" t="s">
        <v>3756</v>
      </c>
      <c r="G300" t="s">
        <v>2374</v>
      </c>
      <c r="H300" t="s">
        <v>2374</v>
      </c>
      <c r="I300" t="s">
        <v>2375</v>
      </c>
      <c r="J300" t="str">
        <f>IF(COUNTIF(Table5[Country],Table310[Country])&gt;0,"Y","N")</f>
        <v>N</v>
      </c>
      <c r="K300">
        <f>IF(Table310[[#This Row],[Adverse Media]]="Y",15,0)+IF(Table310[[#This Row],[PEP]]="Y",50,0)+IF(Table310[[#This Row],[Sanctions]]="Y",70,0)+IF(Table310[[#This Row],[High Risk Country]]="Y",25,0)</f>
        <v>70</v>
      </c>
      <c r="L300" t="str">
        <f>_xlfn.IFS(Table310[[#This Row],[Risk Score]]&gt;=85,"Critical",Table310[[#This Row],[Risk Score]]&gt;=65,"High",Table310[[#This Row],[Risk Score]]&gt;=45,"Medium",TRUE,"Low")</f>
        <v>High</v>
      </c>
    </row>
    <row r="301" spans="1:12" x14ac:dyDescent="0.3">
      <c r="A301" t="s">
        <v>2680</v>
      </c>
      <c r="B301" t="s">
        <v>2980</v>
      </c>
      <c r="C301" t="s">
        <v>189</v>
      </c>
      <c r="D301" t="s">
        <v>220</v>
      </c>
      <c r="E301" t="s">
        <v>3606</v>
      </c>
      <c r="F301" t="s">
        <v>3522</v>
      </c>
      <c r="G301" t="s">
        <v>2375</v>
      </c>
      <c r="H301" t="s">
        <v>2374</v>
      </c>
      <c r="I301" t="s">
        <v>2374</v>
      </c>
      <c r="J301" t="str">
        <f>IF(COUNTIF(Table5[Country],Table310[Country])&gt;0,"Y","N")</f>
        <v>N</v>
      </c>
      <c r="K301">
        <f>IF(Table310[[#This Row],[Adverse Media]]="Y",15,0)+IF(Table310[[#This Row],[PEP]]="Y",50,0)+IF(Table310[[#This Row],[Sanctions]]="Y",70,0)+IF(Table310[[#This Row],[High Risk Country]]="Y",25,0)</f>
        <v>15</v>
      </c>
      <c r="L301" t="str">
        <f>_xlfn.IFS(Table310[[#This Row],[Risk Score]]&gt;=85,"Critical",Table310[[#This Row],[Risk Score]]&gt;=65,"High",Table310[[#This Row],[Risk Score]]&gt;=45,"Medium",TRUE,"Low")</f>
        <v>Low</v>
      </c>
    </row>
    <row r="302" spans="1:12" x14ac:dyDescent="0.3">
      <c r="A302" t="s">
        <v>688</v>
      </c>
      <c r="B302" t="s">
        <v>1038</v>
      </c>
      <c r="C302" t="s">
        <v>188</v>
      </c>
      <c r="D302" t="s">
        <v>231</v>
      </c>
      <c r="E302" t="s">
        <v>381</v>
      </c>
      <c r="F302" t="s">
        <v>2154</v>
      </c>
      <c r="G302" t="s">
        <v>2374</v>
      </c>
      <c r="H302" t="s">
        <v>2374</v>
      </c>
      <c r="I302" t="s">
        <v>2374</v>
      </c>
      <c r="J302" t="str">
        <f>IF(COUNTIF(Table5[Country],Table310[Country])&gt;0,"Y","N")</f>
        <v>N</v>
      </c>
      <c r="K302">
        <f>IF(Table310[[#This Row],[Adverse Media]]="Y",15,0)+IF(Table310[[#This Row],[PEP]]="Y",50,0)+IF(Table310[[#This Row],[Sanctions]]="Y",70,0)+IF(Table310[[#This Row],[High Risk Country]]="Y",25,0)</f>
        <v>0</v>
      </c>
      <c r="L302" t="str">
        <f>_xlfn.IFS(Table310[[#This Row],[Risk Score]]&gt;=85,"Critical",Table310[[#This Row],[Risk Score]]&gt;=65,"High",Table310[[#This Row],[Risk Score]]&gt;=45,"Medium",TRUE,"Low")</f>
        <v>Low</v>
      </c>
    </row>
    <row r="303" spans="1:12" x14ac:dyDescent="0.3">
      <c r="A303" t="s">
        <v>689</v>
      </c>
      <c r="B303" t="s">
        <v>1039</v>
      </c>
      <c r="C303" t="s">
        <v>188</v>
      </c>
      <c r="D303" t="s">
        <v>197</v>
      </c>
      <c r="E303" t="s">
        <v>1913</v>
      </c>
      <c r="F303" t="s">
        <v>401</v>
      </c>
      <c r="G303" t="s">
        <v>2375</v>
      </c>
      <c r="H303" t="s">
        <v>2374</v>
      </c>
      <c r="I303" t="s">
        <v>2375</v>
      </c>
      <c r="J303" t="str">
        <f>IF(COUNTIF(Table5[Country],Table310[Country])&gt;0,"Y","N")</f>
        <v>Y</v>
      </c>
      <c r="K303">
        <f>IF(Table310[[#This Row],[Adverse Media]]="Y",15,0)+IF(Table310[[#This Row],[PEP]]="Y",50,0)+IF(Table310[[#This Row],[Sanctions]]="Y",70,0)+IF(Table310[[#This Row],[High Risk Country]]="Y",25,0)</f>
        <v>110</v>
      </c>
      <c r="L303" t="str">
        <f>_xlfn.IFS(Table310[[#This Row],[Risk Score]]&gt;=85,"Critical",Table310[[#This Row],[Risk Score]]&gt;=65,"High",Table310[[#This Row],[Risk Score]]&gt;=45,"Medium",TRUE,"Low")</f>
        <v>Critical</v>
      </c>
    </row>
    <row r="304" spans="1:12" x14ac:dyDescent="0.3">
      <c r="A304" t="s">
        <v>690</v>
      </c>
      <c r="B304" t="s">
        <v>1040</v>
      </c>
      <c r="C304" t="s">
        <v>188</v>
      </c>
      <c r="D304" t="s">
        <v>206</v>
      </c>
      <c r="E304" t="s">
        <v>1914</v>
      </c>
      <c r="F304" t="s">
        <v>2155</v>
      </c>
      <c r="G304" t="s">
        <v>2374</v>
      </c>
      <c r="H304" t="s">
        <v>2374</v>
      </c>
      <c r="I304" t="s">
        <v>2374</v>
      </c>
      <c r="J304" t="str">
        <f>IF(COUNTIF(Table5[Country],Table310[Country])&gt;0,"Y","N")</f>
        <v>Y</v>
      </c>
      <c r="K304">
        <f>IF(Table310[[#This Row],[Adverse Media]]="Y",15,0)+IF(Table310[[#This Row],[PEP]]="Y",50,0)+IF(Table310[[#This Row],[Sanctions]]="Y",70,0)+IF(Table310[[#This Row],[High Risk Country]]="Y",25,0)</f>
        <v>25</v>
      </c>
      <c r="L304" t="str">
        <f>_xlfn.IFS(Table310[[#This Row],[Risk Score]]&gt;=85,"Critical",Table310[[#This Row],[Risk Score]]&gt;=65,"High",Table310[[#This Row],[Risk Score]]&gt;=45,"Medium",TRUE,"Low")</f>
        <v>Low</v>
      </c>
    </row>
    <row r="305" spans="1:12" x14ac:dyDescent="0.3">
      <c r="A305" t="s">
        <v>691</v>
      </c>
      <c r="B305" t="s">
        <v>1041</v>
      </c>
      <c r="C305" t="s">
        <v>188</v>
      </c>
      <c r="D305" t="s">
        <v>233</v>
      </c>
      <c r="E305" t="s">
        <v>1915</v>
      </c>
      <c r="F305" t="s">
        <v>2156</v>
      </c>
      <c r="G305" t="s">
        <v>2374</v>
      </c>
      <c r="H305" t="s">
        <v>2374</v>
      </c>
      <c r="I305" t="s">
        <v>2374</v>
      </c>
      <c r="J305" t="str">
        <f>IF(COUNTIF(Table5[Country],Table310[Country])&gt;0,"Y","N")</f>
        <v>N</v>
      </c>
      <c r="K305">
        <f>IF(Table310[[#This Row],[Adverse Media]]="Y",15,0)+IF(Table310[[#This Row],[PEP]]="Y",50,0)+IF(Table310[[#This Row],[Sanctions]]="Y",70,0)+IF(Table310[[#This Row],[High Risk Country]]="Y",25,0)</f>
        <v>0</v>
      </c>
      <c r="L305" t="str">
        <f>_xlfn.IFS(Table310[[#This Row],[Risk Score]]&gt;=85,"Critical",Table310[[#This Row],[Risk Score]]&gt;=65,"High",Table310[[#This Row],[Risk Score]]&gt;=45,"Medium",TRUE,"Low")</f>
        <v>Low</v>
      </c>
    </row>
    <row r="306" spans="1:12" x14ac:dyDescent="0.3">
      <c r="A306" t="s">
        <v>692</v>
      </c>
      <c r="B306" t="s">
        <v>1042</v>
      </c>
      <c r="C306" t="s">
        <v>188</v>
      </c>
      <c r="D306" t="s">
        <v>228</v>
      </c>
      <c r="E306" t="s">
        <v>1916</v>
      </c>
      <c r="F306" t="s">
        <v>2157</v>
      </c>
      <c r="G306" t="s">
        <v>2375</v>
      </c>
      <c r="H306" t="s">
        <v>2375</v>
      </c>
      <c r="I306" t="s">
        <v>2374</v>
      </c>
      <c r="J306" t="str">
        <f>IF(COUNTIF(Table5[Country],Table310[Country])&gt;0,"Y","N")</f>
        <v>N</v>
      </c>
      <c r="K306">
        <f>IF(Table310[[#This Row],[Adverse Media]]="Y",15,0)+IF(Table310[[#This Row],[PEP]]="Y",50,0)+IF(Table310[[#This Row],[Sanctions]]="Y",70,0)+IF(Table310[[#This Row],[High Risk Country]]="Y",25,0)</f>
        <v>65</v>
      </c>
      <c r="L306" t="str">
        <f>_xlfn.IFS(Table310[[#This Row],[Risk Score]]&gt;=85,"Critical",Table310[[#This Row],[Risk Score]]&gt;=65,"High",Table310[[#This Row],[Risk Score]]&gt;=45,"Medium",TRUE,"Low")</f>
        <v>High</v>
      </c>
    </row>
    <row r="307" spans="1:12" x14ac:dyDescent="0.3">
      <c r="A307" t="s">
        <v>693</v>
      </c>
      <c r="B307" t="s">
        <v>1043</v>
      </c>
      <c r="C307" t="s">
        <v>188</v>
      </c>
      <c r="D307" t="s">
        <v>197</v>
      </c>
      <c r="E307" t="s">
        <v>1917</v>
      </c>
      <c r="F307" t="s">
        <v>590</v>
      </c>
      <c r="G307" t="s">
        <v>2375</v>
      </c>
      <c r="H307" t="s">
        <v>2374</v>
      </c>
      <c r="I307" t="s">
        <v>2374</v>
      </c>
      <c r="J307" t="str">
        <f>IF(COUNTIF(Table5[Country],Table310[Country])&gt;0,"Y","N")</f>
        <v>Y</v>
      </c>
      <c r="K307">
        <f>IF(Table310[[#This Row],[Adverse Media]]="Y",15,0)+IF(Table310[[#This Row],[PEP]]="Y",50,0)+IF(Table310[[#This Row],[Sanctions]]="Y",70,0)+IF(Table310[[#This Row],[High Risk Country]]="Y",25,0)</f>
        <v>40</v>
      </c>
      <c r="L307" t="str">
        <f>_xlfn.IFS(Table310[[#This Row],[Risk Score]]&gt;=85,"Critical",Table310[[#This Row],[Risk Score]]&gt;=65,"High",Table310[[#This Row],[Risk Score]]&gt;=45,"Medium",TRUE,"Low")</f>
        <v>Low</v>
      </c>
    </row>
    <row r="308" spans="1:12" x14ac:dyDescent="0.3">
      <c r="A308" t="s">
        <v>694</v>
      </c>
      <c r="B308" t="s">
        <v>1044</v>
      </c>
      <c r="C308" t="s">
        <v>188</v>
      </c>
      <c r="D308" t="s">
        <v>240</v>
      </c>
      <c r="E308" t="s">
        <v>321</v>
      </c>
      <c r="F308" t="s">
        <v>390</v>
      </c>
      <c r="G308" t="s">
        <v>2375</v>
      </c>
      <c r="H308" t="s">
        <v>2374</v>
      </c>
      <c r="I308" t="s">
        <v>2374</v>
      </c>
      <c r="J308" t="str">
        <f>IF(COUNTIF(Table5[Country],Table310[Country])&gt;0,"Y","N")</f>
        <v>N</v>
      </c>
      <c r="K308">
        <f>IF(Table310[[#This Row],[Adverse Media]]="Y",15,0)+IF(Table310[[#This Row],[PEP]]="Y",50,0)+IF(Table310[[#This Row],[Sanctions]]="Y",70,0)+IF(Table310[[#This Row],[High Risk Country]]="Y",25,0)</f>
        <v>15</v>
      </c>
      <c r="L308" t="str">
        <f>_xlfn.IFS(Table310[[#This Row],[Risk Score]]&gt;=85,"Critical",Table310[[#This Row],[Risk Score]]&gt;=65,"High",Table310[[#This Row],[Risk Score]]&gt;=45,"Medium",TRUE,"Low")</f>
        <v>Low</v>
      </c>
    </row>
    <row r="309" spans="1:12" x14ac:dyDescent="0.3">
      <c r="A309" t="s">
        <v>695</v>
      </c>
      <c r="B309" t="s">
        <v>1045</v>
      </c>
      <c r="C309" t="s">
        <v>188</v>
      </c>
      <c r="D309" t="s">
        <v>195</v>
      </c>
      <c r="E309" t="s">
        <v>1918</v>
      </c>
      <c r="F309" t="s">
        <v>2158</v>
      </c>
      <c r="G309" t="s">
        <v>2375</v>
      </c>
      <c r="H309" t="s">
        <v>2374</v>
      </c>
      <c r="I309" t="s">
        <v>2374</v>
      </c>
      <c r="J309" t="str">
        <f>IF(COUNTIF(Table5[Country],Table310[Country])&gt;0,"Y","N")</f>
        <v>N</v>
      </c>
      <c r="K309">
        <f>IF(Table310[[#This Row],[Adverse Media]]="Y",15,0)+IF(Table310[[#This Row],[PEP]]="Y",50,0)+IF(Table310[[#This Row],[Sanctions]]="Y",70,0)+IF(Table310[[#This Row],[High Risk Country]]="Y",25,0)</f>
        <v>15</v>
      </c>
      <c r="L309" t="str">
        <f>_xlfn.IFS(Table310[[#This Row],[Risk Score]]&gt;=85,"Critical",Table310[[#This Row],[Risk Score]]&gt;=65,"High",Table310[[#This Row],[Risk Score]]&gt;=45,"Medium",TRUE,"Low")</f>
        <v>Low</v>
      </c>
    </row>
    <row r="310" spans="1:12" x14ac:dyDescent="0.3">
      <c r="A310" t="s">
        <v>696</v>
      </c>
      <c r="B310" t="s">
        <v>1046</v>
      </c>
      <c r="C310" t="s">
        <v>188</v>
      </c>
      <c r="D310" t="s">
        <v>191</v>
      </c>
      <c r="E310" t="s">
        <v>595</v>
      </c>
      <c r="F310" t="s">
        <v>2159</v>
      </c>
      <c r="G310" t="s">
        <v>2375</v>
      </c>
      <c r="H310" t="s">
        <v>2374</v>
      </c>
      <c r="I310" t="s">
        <v>2374</v>
      </c>
      <c r="J310" t="str">
        <f>IF(COUNTIF(Table5[Country],Table310[Country])&gt;0,"Y","N")</f>
        <v>N</v>
      </c>
      <c r="K310">
        <f>IF(Table310[[#This Row],[Adverse Media]]="Y",15,0)+IF(Table310[[#This Row],[PEP]]="Y",50,0)+IF(Table310[[#This Row],[Sanctions]]="Y",70,0)+IF(Table310[[#This Row],[High Risk Country]]="Y",25,0)</f>
        <v>15</v>
      </c>
      <c r="L310" t="str">
        <f>_xlfn.IFS(Table310[[#This Row],[Risk Score]]&gt;=85,"Critical",Table310[[#This Row],[Risk Score]]&gt;=65,"High",Table310[[#This Row],[Risk Score]]&gt;=45,"Medium",TRUE,"Low")</f>
        <v>Low</v>
      </c>
    </row>
    <row r="311" spans="1:12" x14ac:dyDescent="0.3">
      <c r="A311" t="s">
        <v>697</v>
      </c>
      <c r="B311" t="s">
        <v>1047</v>
      </c>
      <c r="C311" t="s">
        <v>188</v>
      </c>
      <c r="D311" t="s">
        <v>197</v>
      </c>
      <c r="E311" t="s">
        <v>1907</v>
      </c>
      <c r="F311" t="s">
        <v>533</v>
      </c>
      <c r="G311" t="s">
        <v>2374</v>
      </c>
      <c r="H311" t="s">
        <v>2374</v>
      </c>
      <c r="I311" t="s">
        <v>2374</v>
      </c>
      <c r="J311" t="str">
        <f>IF(COUNTIF(Table5[Country],Table310[Country])&gt;0,"Y","N")</f>
        <v>Y</v>
      </c>
      <c r="K311">
        <f>IF(Table310[[#This Row],[Adverse Media]]="Y",15,0)+IF(Table310[[#This Row],[PEP]]="Y",50,0)+IF(Table310[[#This Row],[Sanctions]]="Y",70,0)+IF(Table310[[#This Row],[High Risk Country]]="Y",25,0)</f>
        <v>25</v>
      </c>
      <c r="L311" t="str">
        <f>_xlfn.IFS(Table310[[#This Row],[Risk Score]]&gt;=85,"Critical",Table310[[#This Row],[Risk Score]]&gt;=65,"High",Table310[[#This Row],[Risk Score]]&gt;=45,"Medium",TRUE,"Low")</f>
        <v>Low</v>
      </c>
    </row>
    <row r="312" spans="1:12" x14ac:dyDescent="0.3">
      <c r="A312" t="s">
        <v>698</v>
      </c>
      <c r="B312" t="s">
        <v>1048</v>
      </c>
      <c r="C312" t="s">
        <v>188</v>
      </c>
      <c r="D312" t="s">
        <v>208</v>
      </c>
      <c r="E312" t="s">
        <v>445</v>
      </c>
      <c r="F312" t="s">
        <v>2160</v>
      </c>
      <c r="G312" t="s">
        <v>2374</v>
      </c>
      <c r="H312" t="s">
        <v>2374</v>
      </c>
      <c r="I312" t="s">
        <v>2374</v>
      </c>
      <c r="J312" t="str">
        <f>IF(COUNTIF(Table5[Country],Table310[Country])&gt;0,"Y","N")</f>
        <v>Y</v>
      </c>
      <c r="K312">
        <f>IF(Table310[[#This Row],[Adverse Media]]="Y",15,0)+IF(Table310[[#This Row],[PEP]]="Y",50,0)+IF(Table310[[#This Row],[Sanctions]]="Y",70,0)+IF(Table310[[#This Row],[High Risk Country]]="Y",25,0)</f>
        <v>25</v>
      </c>
      <c r="L312" t="str">
        <f>_xlfn.IFS(Table310[[#This Row],[Risk Score]]&gt;=85,"Critical",Table310[[#This Row],[Risk Score]]&gt;=65,"High",Table310[[#This Row],[Risk Score]]&gt;=45,"Medium",TRUE,"Low")</f>
        <v>Low</v>
      </c>
    </row>
    <row r="313" spans="1:12" x14ac:dyDescent="0.3">
      <c r="A313" t="s">
        <v>699</v>
      </c>
      <c r="B313" t="s">
        <v>1049</v>
      </c>
      <c r="C313" t="s">
        <v>188</v>
      </c>
      <c r="D313" t="s">
        <v>194</v>
      </c>
      <c r="E313" t="s">
        <v>1919</v>
      </c>
      <c r="F313" t="s">
        <v>2161</v>
      </c>
      <c r="G313" t="s">
        <v>2374</v>
      </c>
      <c r="H313" t="s">
        <v>2374</v>
      </c>
      <c r="I313" t="s">
        <v>2374</v>
      </c>
      <c r="J313" t="str">
        <f>IF(COUNTIF(Table5[Country],Table310[Country])&gt;0,"Y","N")</f>
        <v>Y</v>
      </c>
      <c r="K313">
        <f>IF(Table310[[#This Row],[Adverse Media]]="Y",15,0)+IF(Table310[[#This Row],[PEP]]="Y",50,0)+IF(Table310[[#This Row],[Sanctions]]="Y",70,0)+IF(Table310[[#This Row],[High Risk Country]]="Y",25,0)</f>
        <v>25</v>
      </c>
      <c r="L313" t="str">
        <f>_xlfn.IFS(Table310[[#This Row],[Risk Score]]&gt;=85,"Critical",Table310[[#This Row],[Risk Score]]&gt;=65,"High",Table310[[#This Row],[Risk Score]]&gt;=45,"Medium",TRUE,"Low")</f>
        <v>Low</v>
      </c>
    </row>
    <row r="314" spans="1:12" x14ac:dyDescent="0.3">
      <c r="A314" t="s">
        <v>700</v>
      </c>
      <c r="B314" t="s">
        <v>1050</v>
      </c>
      <c r="C314" t="s">
        <v>188</v>
      </c>
      <c r="D314" t="s">
        <v>225</v>
      </c>
      <c r="E314" t="s">
        <v>1920</v>
      </c>
      <c r="F314" t="s">
        <v>2162</v>
      </c>
      <c r="G314" t="s">
        <v>2374</v>
      </c>
      <c r="H314" t="s">
        <v>2374</v>
      </c>
      <c r="I314" t="s">
        <v>2374</v>
      </c>
      <c r="J314" t="str">
        <f>IF(COUNTIF(Table5[Country],Table310[Country])&gt;0,"Y","N")</f>
        <v>N</v>
      </c>
      <c r="K314">
        <f>IF(Table310[[#This Row],[Adverse Media]]="Y",15,0)+IF(Table310[[#This Row],[PEP]]="Y",50,0)+IF(Table310[[#This Row],[Sanctions]]="Y",70,0)+IF(Table310[[#This Row],[High Risk Country]]="Y",25,0)</f>
        <v>0</v>
      </c>
      <c r="L314" t="str">
        <f>_xlfn.IFS(Table310[[#This Row],[Risk Score]]&gt;=85,"Critical",Table310[[#This Row],[Risk Score]]&gt;=65,"High",Table310[[#This Row],[Risk Score]]&gt;=45,"Medium",TRUE,"Low")</f>
        <v>Low</v>
      </c>
    </row>
    <row r="315" spans="1:12" x14ac:dyDescent="0.3">
      <c r="A315" t="s">
        <v>701</v>
      </c>
      <c r="B315" t="s">
        <v>1051</v>
      </c>
      <c r="C315" t="s">
        <v>188</v>
      </c>
      <c r="D315" t="s">
        <v>204</v>
      </c>
      <c r="E315" t="s">
        <v>601</v>
      </c>
      <c r="F315" t="s">
        <v>2163</v>
      </c>
      <c r="G315" t="s">
        <v>2374</v>
      </c>
      <c r="H315" t="s">
        <v>2374</v>
      </c>
      <c r="I315" t="s">
        <v>2374</v>
      </c>
      <c r="J315" t="str">
        <f>IF(COUNTIF(Table5[Country],Table310[Country])&gt;0,"Y","N")</f>
        <v>Y</v>
      </c>
      <c r="K315">
        <f>IF(Table310[[#This Row],[Adverse Media]]="Y",15,0)+IF(Table310[[#This Row],[PEP]]="Y",50,0)+IF(Table310[[#This Row],[Sanctions]]="Y",70,0)+IF(Table310[[#This Row],[High Risk Country]]="Y",25,0)</f>
        <v>25</v>
      </c>
      <c r="L315" t="str">
        <f>_xlfn.IFS(Table310[[#This Row],[Risk Score]]&gt;=85,"Critical",Table310[[#This Row],[Risk Score]]&gt;=65,"High",Table310[[#This Row],[Risk Score]]&gt;=45,"Medium",TRUE,"Low")</f>
        <v>Low</v>
      </c>
    </row>
    <row r="316" spans="1:12" x14ac:dyDescent="0.3">
      <c r="A316" t="s">
        <v>702</v>
      </c>
      <c r="B316" t="s">
        <v>1052</v>
      </c>
      <c r="C316" t="s">
        <v>188</v>
      </c>
      <c r="D316" t="s">
        <v>241</v>
      </c>
      <c r="E316" t="s">
        <v>1921</v>
      </c>
      <c r="F316" t="s">
        <v>2164</v>
      </c>
      <c r="G316" t="s">
        <v>2374</v>
      </c>
      <c r="H316" t="s">
        <v>2374</v>
      </c>
      <c r="I316" t="s">
        <v>2374</v>
      </c>
      <c r="J316" t="str">
        <f>IF(COUNTIF(Table5[Country],Table310[Country])&gt;0,"Y","N")</f>
        <v>N</v>
      </c>
      <c r="K316">
        <f>IF(Table310[[#This Row],[Adverse Media]]="Y",15,0)+IF(Table310[[#This Row],[PEP]]="Y",50,0)+IF(Table310[[#This Row],[Sanctions]]="Y",70,0)+IF(Table310[[#This Row],[High Risk Country]]="Y",25,0)</f>
        <v>0</v>
      </c>
      <c r="L316" t="str">
        <f>_xlfn.IFS(Table310[[#This Row],[Risk Score]]&gt;=85,"Critical",Table310[[#This Row],[Risk Score]]&gt;=65,"High",Table310[[#This Row],[Risk Score]]&gt;=45,"Medium",TRUE,"Low")</f>
        <v>Low</v>
      </c>
    </row>
    <row r="317" spans="1:12" x14ac:dyDescent="0.3">
      <c r="A317" t="s">
        <v>703</v>
      </c>
      <c r="B317" t="s">
        <v>1053</v>
      </c>
      <c r="C317" t="s">
        <v>188</v>
      </c>
      <c r="D317" t="s">
        <v>210</v>
      </c>
      <c r="E317" t="s">
        <v>371</v>
      </c>
      <c r="F317" t="s">
        <v>2165</v>
      </c>
      <c r="G317" t="s">
        <v>2374</v>
      </c>
      <c r="H317" t="s">
        <v>2374</v>
      </c>
      <c r="I317" t="s">
        <v>2374</v>
      </c>
      <c r="J317" t="str">
        <f>IF(COUNTIF(Table5[Country],Table310[Country])&gt;0,"Y","N")</f>
        <v>N</v>
      </c>
      <c r="K317">
        <f>IF(Table310[[#This Row],[Adverse Media]]="Y",15,0)+IF(Table310[[#This Row],[PEP]]="Y",50,0)+IF(Table310[[#This Row],[Sanctions]]="Y",70,0)+IF(Table310[[#This Row],[High Risk Country]]="Y",25,0)</f>
        <v>0</v>
      </c>
      <c r="L317" t="str">
        <f>_xlfn.IFS(Table310[[#This Row],[Risk Score]]&gt;=85,"Critical",Table310[[#This Row],[Risk Score]]&gt;=65,"High",Table310[[#This Row],[Risk Score]]&gt;=45,"Medium",TRUE,"Low")</f>
        <v>Low</v>
      </c>
    </row>
    <row r="318" spans="1:12" x14ac:dyDescent="0.3">
      <c r="A318" t="s">
        <v>704</v>
      </c>
      <c r="B318" t="s">
        <v>1054</v>
      </c>
      <c r="C318" t="s">
        <v>188</v>
      </c>
      <c r="D318" t="s">
        <v>192</v>
      </c>
      <c r="E318" t="s">
        <v>1922</v>
      </c>
      <c r="F318" t="s">
        <v>2166</v>
      </c>
      <c r="G318" t="s">
        <v>2374</v>
      </c>
      <c r="H318" t="s">
        <v>2375</v>
      </c>
      <c r="I318" t="s">
        <v>2374</v>
      </c>
      <c r="J318" t="str">
        <f>IF(COUNTIF(Table5[Country],Table310[Country])&gt;0,"Y","N")</f>
        <v>N</v>
      </c>
      <c r="K318">
        <f>IF(Table310[[#This Row],[Adverse Media]]="Y",15,0)+IF(Table310[[#This Row],[PEP]]="Y",50,0)+IF(Table310[[#This Row],[Sanctions]]="Y",70,0)+IF(Table310[[#This Row],[High Risk Country]]="Y",25,0)</f>
        <v>50</v>
      </c>
      <c r="L318" t="str">
        <f>_xlfn.IFS(Table310[[#This Row],[Risk Score]]&gt;=85,"Critical",Table310[[#This Row],[Risk Score]]&gt;=65,"High",Table310[[#This Row],[Risk Score]]&gt;=45,"Medium",TRUE,"Low")</f>
        <v>Medium</v>
      </c>
    </row>
    <row r="319" spans="1:12" x14ac:dyDescent="0.3">
      <c r="A319" t="s">
        <v>705</v>
      </c>
      <c r="B319" t="s">
        <v>1055</v>
      </c>
      <c r="C319" t="s">
        <v>188</v>
      </c>
      <c r="D319" t="s">
        <v>241</v>
      </c>
      <c r="E319" t="s">
        <v>1923</v>
      </c>
      <c r="F319" t="s">
        <v>1748</v>
      </c>
      <c r="G319" t="s">
        <v>2374</v>
      </c>
      <c r="H319" t="s">
        <v>2375</v>
      </c>
      <c r="I319" t="s">
        <v>2374</v>
      </c>
      <c r="J319" t="str">
        <f>IF(COUNTIF(Table5[Country],Table310[Country])&gt;0,"Y","N")</f>
        <v>N</v>
      </c>
      <c r="K319">
        <f>IF(Table310[[#This Row],[Adverse Media]]="Y",15,0)+IF(Table310[[#This Row],[PEP]]="Y",50,0)+IF(Table310[[#This Row],[Sanctions]]="Y",70,0)+IF(Table310[[#This Row],[High Risk Country]]="Y",25,0)</f>
        <v>50</v>
      </c>
      <c r="L319" t="str">
        <f>_xlfn.IFS(Table310[[#This Row],[Risk Score]]&gt;=85,"Critical",Table310[[#This Row],[Risk Score]]&gt;=65,"High",Table310[[#This Row],[Risk Score]]&gt;=45,"Medium",TRUE,"Low")</f>
        <v>Medium</v>
      </c>
    </row>
    <row r="320" spans="1:12" x14ac:dyDescent="0.3">
      <c r="A320" t="s">
        <v>706</v>
      </c>
      <c r="B320" t="s">
        <v>1056</v>
      </c>
      <c r="C320" t="s">
        <v>188</v>
      </c>
      <c r="D320" t="s">
        <v>203</v>
      </c>
      <c r="E320" t="s">
        <v>1924</v>
      </c>
      <c r="F320" t="s">
        <v>607</v>
      </c>
      <c r="G320" t="s">
        <v>2374</v>
      </c>
      <c r="H320" t="s">
        <v>2374</v>
      </c>
      <c r="I320" t="s">
        <v>2374</v>
      </c>
      <c r="J320" t="str">
        <f>IF(COUNTIF(Table5[Country],Table310[Country])&gt;0,"Y","N")</f>
        <v>Y</v>
      </c>
      <c r="K320">
        <f>IF(Table310[[#This Row],[Adverse Media]]="Y",15,0)+IF(Table310[[#This Row],[PEP]]="Y",50,0)+IF(Table310[[#This Row],[Sanctions]]="Y",70,0)+IF(Table310[[#This Row],[High Risk Country]]="Y",25,0)</f>
        <v>25</v>
      </c>
      <c r="L320" t="str">
        <f>_xlfn.IFS(Table310[[#This Row],[Risk Score]]&gt;=85,"Critical",Table310[[#This Row],[Risk Score]]&gt;=65,"High",Table310[[#This Row],[Risk Score]]&gt;=45,"Medium",TRUE,"Low")</f>
        <v>Low</v>
      </c>
    </row>
    <row r="321" spans="1:12" x14ac:dyDescent="0.3">
      <c r="A321" t="s">
        <v>707</v>
      </c>
      <c r="B321" t="s">
        <v>1057</v>
      </c>
      <c r="C321" t="s">
        <v>188</v>
      </c>
      <c r="D321" t="s">
        <v>246</v>
      </c>
      <c r="E321" t="s">
        <v>1925</v>
      </c>
      <c r="F321" t="s">
        <v>2167</v>
      </c>
      <c r="G321" t="s">
        <v>2374</v>
      </c>
      <c r="H321" t="s">
        <v>2374</v>
      </c>
      <c r="I321" t="s">
        <v>2374</v>
      </c>
      <c r="J321" t="str">
        <f>IF(COUNTIF(Table5[Country],Table310[Country])&gt;0,"Y","N")</f>
        <v>N</v>
      </c>
      <c r="K321">
        <f>IF(Table310[[#This Row],[Adverse Media]]="Y",15,0)+IF(Table310[[#This Row],[PEP]]="Y",50,0)+IF(Table310[[#This Row],[Sanctions]]="Y",70,0)+IF(Table310[[#This Row],[High Risk Country]]="Y",25,0)</f>
        <v>0</v>
      </c>
      <c r="L321" t="str">
        <f>_xlfn.IFS(Table310[[#This Row],[Risk Score]]&gt;=85,"Critical",Table310[[#This Row],[Risk Score]]&gt;=65,"High",Table310[[#This Row],[Risk Score]]&gt;=45,"Medium",TRUE,"Low")</f>
        <v>Low</v>
      </c>
    </row>
    <row r="322" spans="1:12" x14ac:dyDescent="0.3">
      <c r="A322" t="s">
        <v>708</v>
      </c>
      <c r="B322" t="s">
        <v>1058</v>
      </c>
      <c r="C322" t="s">
        <v>188</v>
      </c>
      <c r="D322" t="s">
        <v>221</v>
      </c>
      <c r="E322" t="s">
        <v>1926</v>
      </c>
      <c r="F322" t="s">
        <v>2082</v>
      </c>
      <c r="G322" t="s">
        <v>2374</v>
      </c>
      <c r="H322" t="s">
        <v>2375</v>
      </c>
      <c r="I322" t="s">
        <v>2374</v>
      </c>
      <c r="J322" t="str">
        <f>IF(COUNTIF(Table5[Country],Table310[Country])&gt;0,"Y","N")</f>
        <v>N</v>
      </c>
      <c r="K322">
        <f>IF(Table310[[#This Row],[Adverse Media]]="Y",15,0)+IF(Table310[[#This Row],[PEP]]="Y",50,0)+IF(Table310[[#This Row],[Sanctions]]="Y",70,0)+IF(Table310[[#This Row],[High Risk Country]]="Y",25,0)</f>
        <v>50</v>
      </c>
      <c r="L322" t="str">
        <f>_xlfn.IFS(Table310[[#This Row],[Risk Score]]&gt;=85,"Critical",Table310[[#This Row],[Risk Score]]&gt;=65,"High",Table310[[#This Row],[Risk Score]]&gt;=45,"Medium",TRUE,"Low")</f>
        <v>Medium</v>
      </c>
    </row>
    <row r="323" spans="1:12" x14ac:dyDescent="0.3">
      <c r="A323" t="s">
        <v>709</v>
      </c>
      <c r="B323" t="s">
        <v>1059</v>
      </c>
      <c r="C323" t="s">
        <v>188</v>
      </c>
      <c r="D323" t="s">
        <v>248</v>
      </c>
      <c r="E323" t="s">
        <v>1927</v>
      </c>
      <c r="F323" t="s">
        <v>2168</v>
      </c>
      <c r="G323" t="s">
        <v>2374</v>
      </c>
      <c r="H323" t="s">
        <v>2374</v>
      </c>
      <c r="I323" t="s">
        <v>2374</v>
      </c>
      <c r="J323" t="str">
        <f>IF(COUNTIF(Table5[Country],Table310[Country])&gt;0,"Y","N")</f>
        <v>N</v>
      </c>
      <c r="K323">
        <f>IF(Table310[[#This Row],[Adverse Media]]="Y",15,0)+IF(Table310[[#This Row],[PEP]]="Y",50,0)+IF(Table310[[#This Row],[Sanctions]]="Y",70,0)+IF(Table310[[#This Row],[High Risk Country]]="Y",25,0)</f>
        <v>0</v>
      </c>
      <c r="L323" t="str">
        <f>_xlfn.IFS(Table310[[#This Row],[Risk Score]]&gt;=85,"Critical",Table310[[#This Row],[Risk Score]]&gt;=65,"High",Table310[[#This Row],[Risk Score]]&gt;=45,"Medium",TRUE,"Low")</f>
        <v>Low</v>
      </c>
    </row>
    <row r="324" spans="1:12" x14ac:dyDescent="0.3">
      <c r="A324" t="s">
        <v>710</v>
      </c>
      <c r="B324" t="s">
        <v>1060</v>
      </c>
      <c r="C324" t="s">
        <v>188</v>
      </c>
      <c r="D324" t="s">
        <v>203</v>
      </c>
      <c r="E324" t="s">
        <v>577</v>
      </c>
      <c r="F324" t="s">
        <v>2169</v>
      </c>
      <c r="G324" t="s">
        <v>2374</v>
      </c>
      <c r="H324" t="s">
        <v>2374</v>
      </c>
      <c r="I324" t="s">
        <v>2374</v>
      </c>
      <c r="J324" t="str">
        <f>IF(COUNTIF(Table5[Country],Table310[Country])&gt;0,"Y","N")</f>
        <v>Y</v>
      </c>
      <c r="K324">
        <f>IF(Table310[[#This Row],[Adverse Media]]="Y",15,0)+IF(Table310[[#This Row],[PEP]]="Y",50,0)+IF(Table310[[#This Row],[Sanctions]]="Y",70,0)+IF(Table310[[#This Row],[High Risk Country]]="Y",25,0)</f>
        <v>25</v>
      </c>
      <c r="L324" t="str">
        <f>_xlfn.IFS(Table310[[#This Row],[Risk Score]]&gt;=85,"Critical",Table310[[#This Row],[Risk Score]]&gt;=65,"High",Table310[[#This Row],[Risk Score]]&gt;=45,"Medium",TRUE,"Low")</f>
        <v>Low</v>
      </c>
    </row>
    <row r="325" spans="1:12" x14ac:dyDescent="0.3">
      <c r="A325" t="s">
        <v>711</v>
      </c>
      <c r="B325" t="s">
        <v>1061</v>
      </c>
      <c r="C325" t="s">
        <v>188</v>
      </c>
      <c r="D325" t="s">
        <v>238</v>
      </c>
      <c r="E325" t="s">
        <v>1928</v>
      </c>
      <c r="F325" t="s">
        <v>2170</v>
      </c>
      <c r="G325" t="s">
        <v>2374</v>
      </c>
      <c r="H325" t="s">
        <v>2374</v>
      </c>
      <c r="I325" t="s">
        <v>2375</v>
      </c>
      <c r="J325" t="str">
        <f>IF(COUNTIF(Table5[Country],Table310[Country])&gt;0,"Y","N")</f>
        <v>N</v>
      </c>
      <c r="K325">
        <f>IF(Table310[[#This Row],[Adverse Media]]="Y",15,0)+IF(Table310[[#This Row],[PEP]]="Y",50,0)+IF(Table310[[#This Row],[Sanctions]]="Y",70,0)+IF(Table310[[#This Row],[High Risk Country]]="Y",25,0)</f>
        <v>70</v>
      </c>
      <c r="L325" t="str">
        <f>_xlfn.IFS(Table310[[#This Row],[Risk Score]]&gt;=85,"Critical",Table310[[#This Row],[Risk Score]]&gt;=65,"High",Table310[[#This Row],[Risk Score]]&gt;=45,"Medium",TRUE,"Low")</f>
        <v>High</v>
      </c>
    </row>
    <row r="326" spans="1:12" x14ac:dyDescent="0.3">
      <c r="A326" t="s">
        <v>712</v>
      </c>
      <c r="B326" t="s">
        <v>1062</v>
      </c>
      <c r="C326" t="s">
        <v>188</v>
      </c>
      <c r="D326" t="s">
        <v>206</v>
      </c>
      <c r="E326" t="s">
        <v>522</v>
      </c>
      <c r="F326" t="s">
        <v>2171</v>
      </c>
      <c r="G326" t="s">
        <v>2374</v>
      </c>
      <c r="H326" t="s">
        <v>2374</v>
      </c>
      <c r="I326" t="s">
        <v>2375</v>
      </c>
      <c r="J326" t="str">
        <f>IF(COUNTIF(Table5[Country],Table310[Country])&gt;0,"Y","N")</f>
        <v>Y</v>
      </c>
      <c r="K326">
        <f>IF(Table310[[#This Row],[Adverse Media]]="Y",15,0)+IF(Table310[[#This Row],[PEP]]="Y",50,0)+IF(Table310[[#This Row],[Sanctions]]="Y",70,0)+IF(Table310[[#This Row],[High Risk Country]]="Y",25,0)</f>
        <v>95</v>
      </c>
      <c r="L326" t="str">
        <f>_xlfn.IFS(Table310[[#This Row],[Risk Score]]&gt;=85,"Critical",Table310[[#This Row],[Risk Score]]&gt;=65,"High",Table310[[#This Row],[Risk Score]]&gt;=45,"Medium",TRUE,"Low")</f>
        <v>Critical</v>
      </c>
    </row>
    <row r="327" spans="1:12" x14ac:dyDescent="0.3">
      <c r="A327" t="s">
        <v>713</v>
      </c>
      <c r="B327" t="s">
        <v>1063</v>
      </c>
      <c r="C327" t="s">
        <v>188</v>
      </c>
      <c r="D327" t="s">
        <v>246</v>
      </c>
      <c r="E327" t="s">
        <v>1929</v>
      </c>
      <c r="F327" t="s">
        <v>2172</v>
      </c>
      <c r="G327" t="s">
        <v>2374</v>
      </c>
      <c r="H327" t="s">
        <v>2374</v>
      </c>
      <c r="I327" t="s">
        <v>2375</v>
      </c>
      <c r="J327" t="str">
        <f>IF(COUNTIF(Table5[Country],Table310[Country])&gt;0,"Y","N")</f>
        <v>N</v>
      </c>
      <c r="K327">
        <f>IF(Table310[[#This Row],[Adverse Media]]="Y",15,0)+IF(Table310[[#This Row],[PEP]]="Y",50,0)+IF(Table310[[#This Row],[Sanctions]]="Y",70,0)+IF(Table310[[#This Row],[High Risk Country]]="Y",25,0)</f>
        <v>70</v>
      </c>
      <c r="L327" t="str">
        <f>_xlfn.IFS(Table310[[#This Row],[Risk Score]]&gt;=85,"Critical",Table310[[#This Row],[Risk Score]]&gt;=65,"High",Table310[[#This Row],[Risk Score]]&gt;=45,"Medium",TRUE,"Low")</f>
        <v>High</v>
      </c>
    </row>
    <row r="328" spans="1:12" x14ac:dyDescent="0.3">
      <c r="A328" t="s">
        <v>714</v>
      </c>
      <c r="B328" t="s">
        <v>1064</v>
      </c>
      <c r="C328" t="s">
        <v>188</v>
      </c>
      <c r="D328" t="s">
        <v>196</v>
      </c>
      <c r="E328" t="s">
        <v>1930</v>
      </c>
      <c r="F328" t="s">
        <v>2173</v>
      </c>
      <c r="G328" t="s">
        <v>2374</v>
      </c>
      <c r="H328" t="s">
        <v>2374</v>
      </c>
      <c r="I328" t="s">
        <v>2375</v>
      </c>
      <c r="J328" t="str">
        <f>IF(COUNTIF(Table5[Country],Table310[Country])&gt;0,"Y","N")</f>
        <v>Y</v>
      </c>
      <c r="K328">
        <f>IF(Table310[[#This Row],[Adverse Media]]="Y",15,0)+IF(Table310[[#This Row],[PEP]]="Y",50,0)+IF(Table310[[#This Row],[Sanctions]]="Y",70,0)+IF(Table310[[#This Row],[High Risk Country]]="Y",25,0)</f>
        <v>95</v>
      </c>
      <c r="L328" t="str">
        <f>_xlfn.IFS(Table310[[#This Row],[Risk Score]]&gt;=85,"Critical",Table310[[#This Row],[Risk Score]]&gt;=65,"High",Table310[[#This Row],[Risk Score]]&gt;=45,"Medium",TRUE,"Low")</f>
        <v>Critical</v>
      </c>
    </row>
    <row r="329" spans="1:12" x14ac:dyDescent="0.3">
      <c r="A329" t="s">
        <v>715</v>
      </c>
      <c r="B329" t="s">
        <v>1065</v>
      </c>
      <c r="C329" t="s">
        <v>188</v>
      </c>
      <c r="D329" t="s">
        <v>232</v>
      </c>
      <c r="E329" t="s">
        <v>1931</v>
      </c>
      <c r="F329" t="s">
        <v>384</v>
      </c>
      <c r="G329" t="s">
        <v>2374</v>
      </c>
      <c r="H329" t="s">
        <v>2375</v>
      </c>
      <c r="I329" t="s">
        <v>2374</v>
      </c>
      <c r="J329" t="str">
        <f>IF(COUNTIF(Table5[Country],Table310[Country])&gt;0,"Y","N")</f>
        <v>N</v>
      </c>
      <c r="K329">
        <f>IF(Table310[[#This Row],[Adverse Media]]="Y",15,0)+IF(Table310[[#This Row],[PEP]]="Y",50,0)+IF(Table310[[#This Row],[Sanctions]]="Y",70,0)+IF(Table310[[#This Row],[High Risk Country]]="Y",25,0)</f>
        <v>50</v>
      </c>
      <c r="L329" t="str">
        <f>_xlfn.IFS(Table310[[#This Row],[Risk Score]]&gt;=85,"Critical",Table310[[#This Row],[Risk Score]]&gt;=65,"High",Table310[[#This Row],[Risk Score]]&gt;=45,"Medium",TRUE,"Low")</f>
        <v>Medium</v>
      </c>
    </row>
    <row r="330" spans="1:12" x14ac:dyDescent="0.3">
      <c r="A330" t="s">
        <v>716</v>
      </c>
      <c r="B330" t="s">
        <v>1066</v>
      </c>
      <c r="C330" t="s">
        <v>188</v>
      </c>
      <c r="D330" t="s">
        <v>247</v>
      </c>
      <c r="E330" t="s">
        <v>429</v>
      </c>
      <c r="F330" t="s">
        <v>2174</v>
      </c>
      <c r="G330" t="s">
        <v>2374</v>
      </c>
      <c r="H330" t="s">
        <v>2375</v>
      </c>
      <c r="I330" t="s">
        <v>2374</v>
      </c>
      <c r="J330" t="str">
        <f>IF(COUNTIF(Table5[Country],Table310[Country])&gt;0,"Y","N")</f>
        <v>Y</v>
      </c>
      <c r="K330">
        <f>IF(Table310[[#This Row],[Adverse Media]]="Y",15,0)+IF(Table310[[#This Row],[PEP]]="Y",50,0)+IF(Table310[[#This Row],[Sanctions]]="Y",70,0)+IF(Table310[[#This Row],[High Risk Country]]="Y",25,0)</f>
        <v>75</v>
      </c>
      <c r="L330" t="str">
        <f>_xlfn.IFS(Table310[[#This Row],[Risk Score]]&gt;=85,"Critical",Table310[[#This Row],[Risk Score]]&gt;=65,"High",Table310[[#This Row],[Risk Score]]&gt;=45,"Medium",TRUE,"Low")</f>
        <v>High</v>
      </c>
    </row>
    <row r="331" spans="1:12" x14ac:dyDescent="0.3">
      <c r="A331" t="s">
        <v>717</v>
      </c>
      <c r="B331" t="s">
        <v>1067</v>
      </c>
      <c r="C331" t="s">
        <v>188</v>
      </c>
      <c r="D331" t="s">
        <v>193</v>
      </c>
      <c r="E331" t="s">
        <v>1932</v>
      </c>
      <c r="F331" t="s">
        <v>1858</v>
      </c>
      <c r="G331" t="s">
        <v>2374</v>
      </c>
      <c r="H331" t="s">
        <v>2375</v>
      </c>
      <c r="I331" t="s">
        <v>2375</v>
      </c>
      <c r="J331" t="str">
        <f>IF(COUNTIF(Table5[Country],Table310[Country])&gt;0,"Y","N")</f>
        <v>Y</v>
      </c>
      <c r="K331">
        <f>IF(Table310[[#This Row],[Adverse Media]]="Y",15,0)+IF(Table310[[#This Row],[PEP]]="Y",50,0)+IF(Table310[[#This Row],[Sanctions]]="Y",70,0)+IF(Table310[[#This Row],[High Risk Country]]="Y",25,0)</f>
        <v>145</v>
      </c>
      <c r="L331" t="str">
        <f>_xlfn.IFS(Table310[[#This Row],[Risk Score]]&gt;=85,"Critical",Table310[[#This Row],[Risk Score]]&gt;=65,"High",Table310[[#This Row],[Risk Score]]&gt;=45,"Medium",TRUE,"Low")</f>
        <v>Critical</v>
      </c>
    </row>
    <row r="332" spans="1:12" x14ac:dyDescent="0.3">
      <c r="A332" t="s">
        <v>718</v>
      </c>
      <c r="B332" t="s">
        <v>1068</v>
      </c>
      <c r="C332" t="s">
        <v>188</v>
      </c>
      <c r="D332" t="s">
        <v>230</v>
      </c>
      <c r="E332" t="s">
        <v>536</v>
      </c>
      <c r="F332" t="s">
        <v>1750</v>
      </c>
      <c r="G332" t="s">
        <v>2374</v>
      </c>
      <c r="H332" t="s">
        <v>2374</v>
      </c>
      <c r="I332" t="s">
        <v>2374</v>
      </c>
      <c r="J332" t="str">
        <f>IF(COUNTIF(Table5[Country],Table310[Country])&gt;0,"Y","N")</f>
        <v>N</v>
      </c>
      <c r="K332">
        <f>IF(Table310[[#This Row],[Adverse Media]]="Y",15,0)+IF(Table310[[#This Row],[PEP]]="Y",50,0)+IF(Table310[[#This Row],[Sanctions]]="Y",70,0)+IF(Table310[[#This Row],[High Risk Country]]="Y",25,0)</f>
        <v>0</v>
      </c>
      <c r="L332" t="str">
        <f>_xlfn.IFS(Table310[[#This Row],[Risk Score]]&gt;=85,"Critical",Table310[[#This Row],[Risk Score]]&gt;=65,"High",Table310[[#This Row],[Risk Score]]&gt;=45,"Medium",TRUE,"Low")</f>
        <v>Low</v>
      </c>
    </row>
    <row r="333" spans="1:12" x14ac:dyDescent="0.3">
      <c r="A333" t="s">
        <v>719</v>
      </c>
      <c r="B333" t="s">
        <v>1069</v>
      </c>
      <c r="C333" t="s">
        <v>188</v>
      </c>
      <c r="D333" t="s">
        <v>227</v>
      </c>
      <c r="E333" t="s">
        <v>649</v>
      </c>
      <c r="F333" t="s">
        <v>2175</v>
      </c>
      <c r="G333" t="s">
        <v>2374</v>
      </c>
      <c r="H333" t="s">
        <v>2374</v>
      </c>
      <c r="I333" t="s">
        <v>2374</v>
      </c>
      <c r="J333" t="str">
        <f>IF(COUNTIF(Table5[Country],Table310[Country])&gt;0,"Y","N")</f>
        <v>N</v>
      </c>
      <c r="K333">
        <f>IF(Table310[[#This Row],[Adverse Media]]="Y",15,0)+IF(Table310[[#This Row],[PEP]]="Y",50,0)+IF(Table310[[#This Row],[Sanctions]]="Y",70,0)+IF(Table310[[#This Row],[High Risk Country]]="Y",25,0)</f>
        <v>0</v>
      </c>
      <c r="L333" t="str">
        <f>_xlfn.IFS(Table310[[#This Row],[Risk Score]]&gt;=85,"Critical",Table310[[#This Row],[Risk Score]]&gt;=65,"High",Table310[[#This Row],[Risk Score]]&gt;=45,"Medium",TRUE,"Low")</f>
        <v>Low</v>
      </c>
    </row>
    <row r="334" spans="1:12" x14ac:dyDescent="0.3">
      <c r="A334" t="s">
        <v>720</v>
      </c>
      <c r="B334" t="s">
        <v>1070</v>
      </c>
      <c r="C334" t="s">
        <v>188</v>
      </c>
      <c r="D334" t="s">
        <v>243</v>
      </c>
      <c r="E334" t="s">
        <v>1933</v>
      </c>
      <c r="F334" t="s">
        <v>2176</v>
      </c>
      <c r="G334" t="s">
        <v>2374</v>
      </c>
      <c r="H334" t="s">
        <v>2374</v>
      </c>
      <c r="I334" t="s">
        <v>2375</v>
      </c>
      <c r="J334" t="str">
        <f>IF(COUNTIF(Table5[Country],Table310[Country])&gt;0,"Y","N")</f>
        <v>Y</v>
      </c>
      <c r="K334">
        <f>IF(Table310[[#This Row],[Adverse Media]]="Y",15,0)+IF(Table310[[#This Row],[PEP]]="Y",50,0)+IF(Table310[[#This Row],[Sanctions]]="Y",70,0)+IF(Table310[[#This Row],[High Risk Country]]="Y",25,0)</f>
        <v>95</v>
      </c>
      <c r="L334" t="str">
        <f>_xlfn.IFS(Table310[[#This Row],[Risk Score]]&gt;=85,"Critical",Table310[[#This Row],[Risk Score]]&gt;=65,"High",Table310[[#This Row],[Risk Score]]&gt;=45,"Medium",TRUE,"Low")</f>
        <v>Critical</v>
      </c>
    </row>
    <row r="335" spans="1:12" x14ac:dyDescent="0.3">
      <c r="A335" t="s">
        <v>721</v>
      </c>
      <c r="B335" t="s">
        <v>1071</v>
      </c>
      <c r="C335" t="s">
        <v>188</v>
      </c>
      <c r="D335" t="s">
        <v>242</v>
      </c>
      <c r="E335" t="s">
        <v>1762</v>
      </c>
      <c r="F335" t="s">
        <v>2177</v>
      </c>
      <c r="G335" t="s">
        <v>2374</v>
      </c>
      <c r="H335" t="s">
        <v>2374</v>
      </c>
      <c r="I335" t="s">
        <v>2375</v>
      </c>
      <c r="J335" t="str">
        <f>IF(COUNTIF(Table5[Country],Table310[Country])&gt;0,"Y","N")</f>
        <v>N</v>
      </c>
      <c r="K335">
        <f>IF(Table310[[#This Row],[Adverse Media]]="Y",15,0)+IF(Table310[[#This Row],[PEP]]="Y",50,0)+IF(Table310[[#This Row],[Sanctions]]="Y",70,0)+IF(Table310[[#This Row],[High Risk Country]]="Y",25,0)</f>
        <v>70</v>
      </c>
      <c r="L335" t="str">
        <f>_xlfn.IFS(Table310[[#This Row],[Risk Score]]&gt;=85,"Critical",Table310[[#This Row],[Risk Score]]&gt;=65,"High",Table310[[#This Row],[Risk Score]]&gt;=45,"Medium",TRUE,"Low")</f>
        <v>High</v>
      </c>
    </row>
    <row r="336" spans="1:12" x14ac:dyDescent="0.3">
      <c r="A336" t="s">
        <v>722</v>
      </c>
      <c r="B336" t="s">
        <v>1072</v>
      </c>
      <c r="C336" t="s">
        <v>188</v>
      </c>
      <c r="D336" t="s">
        <v>208</v>
      </c>
      <c r="E336" t="s">
        <v>1934</v>
      </c>
      <c r="F336" t="s">
        <v>2178</v>
      </c>
      <c r="G336" t="s">
        <v>2374</v>
      </c>
      <c r="H336" t="s">
        <v>2374</v>
      </c>
      <c r="I336" t="s">
        <v>2374</v>
      </c>
      <c r="J336" t="str">
        <f>IF(COUNTIF(Table5[Country],Table310[Country])&gt;0,"Y","N")</f>
        <v>Y</v>
      </c>
      <c r="K336">
        <f>IF(Table310[[#This Row],[Adverse Media]]="Y",15,0)+IF(Table310[[#This Row],[PEP]]="Y",50,0)+IF(Table310[[#This Row],[Sanctions]]="Y",70,0)+IF(Table310[[#This Row],[High Risk Country]]="Y",25,0)</f>
        <v>25</v>
      </c>
      <c r="L336" t="str">
        <f>_xlfn.IFS(Table310[[#This Row],[Risk Score]]&gt;=85,"Critical",Table310[[#This Row],[Risk Score]]&gt;=65,"High",Table310[[#This Row],[Risk Score]]&gt;=45,"Medium",TRUE,"Low")</f>
        <v>Low</v>
      </c>
    </row>
    <row r="337" spans="1:12" x14ac:dyDescent="0.3">
      <c r="A337" t="s">
        <v>723</v>
      </c>
      <c r="B337" t="s">
        <v>1073</v>
      </c>
      <c r="C337" t="s">
        <v>188</v>
      </c>
      <c r="D337" t="s">
        <v>230</v>
      </c>
      <c r="E337" t="s">
        <v>1935</v>
      </c>
      <c r="F337" t="s">
        <v>2179</v>
      </c>
      <c r="G337" t="s">
        <v>2374</v>
      </c>
      <c r="H337" t="s">
        <v>2374</v>
      </c>
      <c r="I337" t="s">
        <v>2374</v>
      </c>
      <c r="J337" t="str">
        <f>IF(COUNTIF(Table5[Country],Table310[Country])&gt;0,"Y","N")</f>
        <v>N</v>
      </c>
      <c r="K337">
        <f>IF(Table310[[#This Row],[Adverse Media]]="Y",15,0)+IF(Table310[[#This Row],[PEP]]="Y",50,0)+IF(Table310[[#This Row],[Sanctions]]="Y",70,0)+IF(Table310[[#This Row],[High Risk Country]]="Y",25,0)</f>
        <v>0</v>
      </c>
      <c r="L337" t="str">
        <f>_xlfn.IFS(Table310[[#This Row],[Risk Score]]&gt;=85,"Critical",Table310[[#This Row],[Risk Score]]&gt;=65,"High",Table310[[#This Row],[Risk Score]]&gt;=45,"Medium",TRUE,"Low")</f>
        <v>Low</v>
      </c>
    </row>
    <row r="338" spans="1:12" x14ac:dyDescent="0.3">
      <c r="A338" t="s">
        <v>724</v>
      </c>
      <c r="B338" t="s">
        <v>1074</v>
      </c>
      <c r="C338" t="s">
        <v>188</v>
      </c>
      <c r="D338" t="s">
        <v>244</v>
      </c>
      <c r="E338" t="s">
        <v>373</v>
      </c>
      <c r="F338" t="s">
        <v>2180</v>
      </c>
      <c r="G338" t="s">
        <v>2374</v>
      </c>
      <c r="H338" t="s">
        <v>2374</v>
      </c>
      <c r="I338" t="s">
        <v>2374</v>
      </c>
      <c r="J338" t="str">
        <f>IF(COUNTIF(Table5[Country],Table310[Country])&gt;0,"Y","N")</f>
        <v>Y</v>
      </c>
      <c r="K338">
        <f>IF(Table310[[#This Row],[Adverse Media]]="Y",15,0)+IF(Table310[[#This Row],[PEP]]="Y",50,0)+IF(Table310[[#This Row],[Sanctions]]="Y",70,0)+IF(Table310[[#This Row],[High Risk Country]]="Y",25,0)</f>
        <v>25</v>
      </c>
      <c r="L338" t="str">
        <f>_xlfn.IFS(Table310[[#This Row],[Risk Score]]&gt;=85,"Critical",Table310[[#This Row],[Risk Score]]&gt;=65,"High",Table310[[#This Row],[Risk Score]]&gt;=45,"Medium",TRUE,"Low")</f>
        <v>Low</v>
      </c>
    </row>
    <row r="339" spans="1:12" x14ac:dyDescent="0.3">
      <c r="A339" t="s">
        <v>725</v>
      </c>
      <c r="B339" t="s">
        <v>1075</v>
      </c>
      <c r="C339" t="s">
        <v>188</v>
      </c>
      <c r="D339" t="s">
        <v>238</v>
      </c>
      <c r="E339" t="s">
        <v>1936</v>
      </c>
      <c r="F339" t="s">
        <v>520</v>
      </c>
      <c r="G339" t="s">
        <v>2374</v>
      </c>
      <c r="H339" t="s">
        <v>2374</v>
      </c>
      <c r="I339" t="s">
        <v>2374</v>
      </c>
      <c r="J339" t="str">
        <f>IF(COUNTIF(Table5[Country],Table310[Country])&gt;0,"Y","N")</f>
        <v>N</v>
      </c>
      <c r="K339">
        <f>IF(Table310[[#This Row],[Adverse Media]]="Y",15,0)+IF(Table310[[#This Row],[PEP]]="Y",50,0)+IF(Table310[[#This Row],[Sanctions]]="Y",70,0)+IF(Table310[[#This Row],[High Risk Country]]="Y",25,0)</f>
        <v>0</v>
      </c>
      <c r="L339" t="str">
        <f>_xlfn.IFS(Table310[[#This Row],[Risk Score]]&gt;=85,"Critical",Table310[[#This Row],[Risk Score]]&gt;=65,"High",Table310[[#This Row],[Risk Score]]&gt;=45,"Medium",TRUE,"Low")</f>
        <v>Low</v>
      </c>
    </row>
    <row r="340" spans="1:12" x14ac:dyDescent="0.3">
      <c r="A340" t="s">
        <v>726</v>
      </c>
      <c r="B340" t="s">
        <v>1076</v>
      </c>
      <c r="C340" t="s">
        <v>188</v>
      </c>
      <c r="D340" t="s">
        <v>217</v>
      </c>
      <c r="E340" t="s">
        <v>1925</v>
      </c>
      <c r="F340" t="s">
        <v>2103</v>
      </c>
      <c r="G340" t="s">
        <v>2374</v>
      </c>
      <c r="H340" t="s">
        <v>2374</v>
      </c>
      <c r="I340" t="s">
        <v>2375</v>
      </c>
      <c r="J340" t="str">
        <f>IF(COUNTIF(Table5[Country],Table310[Country])&gt;0,"Y","N")</f>
        <v>Y</v>
      </c>
      <c r="K340">
        <f>IF(Table310[[#This Row],[Adverse Media]]="Y",15,0)+IF(Table310[[#This Row],[PEP]]="Y",50,0)+IF(Table310[[#This Row],[Sanctions]]="Y",70,0)+IF(Table310[[#This Row],[High Risk Country]]="Y",25,0)</f>
        <v>95</v>
      </c>
      <c r="L340" t="str">
        <f>_xlfn.IFS(Table310[[#This Row],[Risk Score]]&gt;=85,"Critical",Table310[[#This Row],[Risk Score]]&gt;=65,"High",Table310[[#This Row],[Risk Score]]&gt;=45,"Medium",TRUE,"Low")</f>
        <v>Critical</v>
      </c>
    </row>
    <row r="341" spans="1:12" x14ac:dyDescent="0.3">
      <c r="A341" t="s">
        <v>727</v>
      </c>
      <c r="B341" t="s">
        <v>1077</v>
      </c>
      <c r="C341" t="s">
        <v>188</v>
      </c>
      <c r="D341" t="s">
        <v>240</v>
      </c>
      <c r="E341" t="s">
        <v>266</v>
      </c>
      <c r="F341" t="s">
        <v>1869</v>
      </c>
      <c r="G341" t="s">
        <v>2374</v>
      </c>
      <c r="H341" t="s">
        <v>2374</v>
      </c>
      <c r="I341" t="s">
        <v>2374</v>
      </c>
      <c r="J341" t="str">
        <f>IF(COUNTIF(Table5[Country],Table310[Country])&gt;0,"Y","N")</f>
        <v>N</v>
      </c>
      <c r="K341">
        <f>IF(Table310[[#This Row],[Adverse Media]]="Y",15,0)+IF(Table310[[#This Row],[PEP]]="Y",50,0)+IF(Table310[[#This Row],[Sanctions]]="Y",70,0)+IF(Table310[[#This Row],[High Risk Country]]="Y",25,0)</f>
        <v>0</v>
      </c>
      <c r="L341" t="str">
        <f>_xlfn.IFS(Table310[[#This Row],[Risk Score]]&gt;=85,"Critical",Table310[[#This Row],[Risk Score]]&gt;=65,"High",Table310[[#This Row],[Risk Score]]&gt;=45,"Medium",TRUE,"Low")</f>
        <v>Low</v>
      </c>
    </row>
    <row r="342" spans="1:12" x14ac:dyDescent="0.3">
      <c r="A342" t="s">
        <v>728</v>
      </c>
      <c r="B342" t="s">
        <v>1078</v>
      </c>
      <c r="C342" t="s">
        <v>188</v>
      </c>
      <c r="D342" t="s">
        <v>209</v>
      </c>
      <c r="E342" t="s">
        <v>1937</v>
      </c>
      <c r="F342" t="s">
        <v>2181</v>
      </c>
      <c r="G342" t="s">
        <v>2374</v>
      </c>
      <c r="H342" t="s">
        <v>2374</v>
      </c>
      <c r="I342" t="s">
        <v>2375</v>
      </c>
      <c r="J342" t="str">
        <f>IF(COUNTIF(Table5[Country],Table310[Country])&gt;0,"Y","N")</f>
        <v>N</v>
      </c>
      <c r="K342">
        <f>IF(Table310[[#This Row],[Adverse Media]]="Y",15,0)+IF(Table310[[#This Row],[PEP]]="Y",50,0)+IF(Table310[[#This Row],[Sanctions]]="Y",70,0)+IF(Table310[[#This Row],[High Risk Country]]="Y",25,0)</f>
        <v>70</v>
      </c>
      <c r="L342" t="str">
        <f>_xlfn.IFS(Table310[[#This Row],[Risk Score]]&gt;=85,"Critical",Table310[[#This Row],[Risk Score]]&gt;=65,"High",Table310[[#This Row],[Risk Score]]&gt;=45,"Medium",TRUE,"Low")</f>
        <v>High</v>
      </c>
    </row>
    <row r="343" spans="1:12" x14ac:dyDescent="0.3">
      <c r="A343" t="s">
        <v>729</v>
      </c>
      <c r="B343" t="s">
        <v>1079</v>
      </c>
      <c r="C343" t="s">
        <v>188</v>
      </c>
      <c r="D343" t="s">
        <v>202</v>
      </c>
      <c r="E343" t="s">
        <v>1938</v>
      </c>
      <c r="F343" t="s">
        <v>2182</v>
      </c>
      <c r="G343" t="s">
        <v>2374</v>
      </c>
      <c r="H343" t="s">
        <v>2374</v>
      </c>
      <c r="I343" t="s">
        <v>2374</v>
      </c>
      <c r="J343" t="str">
        <f>IF(COUNTIF(Table5[Country],Table310[Country])&gt;0,"Y","N")</f>
        <v>N</v>
      </c>
      <c r="K343">
        <f>IF(Table310[[#This Row],[Adverse Media]]="Y",15,0)+IF(Table310[[#This Row],[PEP]]="Y",50,0)+IF(Table310[[#This Row],[Sanctions]]="Y",70,0)+IF(Table310[[#This Row],[High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>
        <v>Low</v>
      </c>
    </row>
    <row r="344" spans="1:12" x14ac:dyDescent="0.3">
      <c r="A344" t="s">
        <v>730</v>
      </c>
      <c r="B344" t="s">
        <v>1080</v>
      </c>
      <c r="C344" t="s">
        <v>188</v>
      </c>
      <c r="D344" t="s">
        <v>190</v>
      </c>
      <c r="E344" t="s">
        <v>1812</v>
      </c>
      <c r="F344" t="s">
        <v>2183</v>
      </c>
      <c r="G344" t="s">
        <v>2374</v>
      </c>
      <c r="H344" t="s">
        <v>2374</v>
      </c>
      <c r="I344" t="s">
        <v>2374</v>
      </c>
      <c r="J344" t="str">
        <f>IF(COUNTIF(Table5[Country],Table310[Country])&gt;0,"Y","N")</f>
        <v>N</v>
      </c>
      <c r="K344">
        <f>IF(Table310[[#This Row],[Adverse Media]]="Y",15,0)+IF(Table310[[#This Row],[PEP]]="Y",50,0)+IF(Table310[[#This Row],[Sanctions]]="Y",70,0)+IF(Table310[[#This Row],[High Risk Country]]="Y",25,0)</f>
        <v>0</v>
      </c>
      <c r="L344" t="str">
        <f>_xlfn.IFS(Table310[[#This Row],[Risk Score]]&gt;=85,"Critical",Table310[[#This Row],[Risk Score]]&gt;=65,"High",Table310[[#This Row],[Risk Score]]&gt;=45,"Medium",TRUE,"Low")</f>
        <v>Low</v>
      </c>
    </row>
    <row r="345" spans="1:12" x14ac:dyDescent="0.3">
      <c r="A345" t="s">
        <v>731</v>
      </c>
      <c r="B345" t="s">
        <v>1081</v>
      </c>
      <c r="C345" t="s">
        <v>188</v>
      </c>
      <c r="D345" t="s">
        <v>226</v>
      </c>
      <c r="E345" t="s">
        <v>1939</v>
      </c>
      <c r="F345" t="s">
        <v>380</v>
      </c>
      <c r="G345" t="s">
        <v>2374</v>
      </c>
      <c r="H345" t="s">
        <v>2374</v>
      </c>
      <c r="I345" t="s">
        <v>2375</v>
      </c>
      <c r="J345" t="str">
        <f>IF(COUNTIF(Table5[Country],Table310[Country])&gt;0,"Y","N")</f>
        <v>N</v>
      </c>
      <c r="K345">
        <f>IF(Table310[[#This Row],[Adverse Media]]="Y",15,0)+IF(Table310[[#This Row],[PEP]]="Y",50,0)+IF(Table310[[#This Row],[Sanctions]]="Y",70,0)+IF(Table310[[#This Row],[High Risk Country]]="Y",25,0)</f>
        <v>70</v>
      </c>
      <c r="L345" t="str">
        <f>_xlfn.IFS(Table310[[#This Row],[Risk Score]]&gt;=85,"Critical",Table310[[#This Row],[Risk Score]]&gt;=65,"High",Table310[[#This Row],[Risk Score]]&gt;=45,"Medium",TRUE,"Low")</f>
        <v>High</v>
      </c>
    </row>
    <row r="346" spans="1:12" x14ac:dyDescent="0.3">
      <c r="A346" t="s">
        <v>732</v>
      </c>
      <c r="B346" t="s">
        <v>1082</v>
      </c>
      <c r="C346" t="s">
        <v>188</v>
      </c>
      <c r="D346" t="s">
        <v>247</v>
      </c>
      <c r="E346" t="s">
        <v>605</v>
      </c>
      <c r="F346" t="s">
        <v>1736</v>
      </c>
      <c r="G346" t="s">
        <v>2374</v>
      </c>
      <c r="H346" t="s">
        <v>2374</v>
      </c>
      <c r="I346" t="s">
        <v>2374</v>
      </c>
      <c r="J346" t="str">
        <f>IF(COUNTIF(Table5[Country],Table310[Country])&gt;0,"Y","N")</f>
        <v>Y</v>
      </c>
      <c r="K346">
        <f>IF(Table310[[#This Row],[Adverse Media]]="Y",15,0)+IF(Table310[[#This Row],[PEP]]="Y",50,0)+IF(Table310[[#This Row],[Sanctions]]="Y",70,0)+IF(Table310[[#This Row],[High Risk Country]]="Y",25,0)</f>
        <v>25</v>
      </c>
      <c r="L346" t="str">
        <f>_xlfn.IFS(Table310[[#This Row],[Risk Score]]&gt;=85,"Critical",Table310[[#This Row],[Risk Score]]&gt;=65,"High",Table310[[#This Row],[Risk Score]]&gt;=45,"Medium",TRUE,"Low")</f>
        <v>Low</v>
      </c>
    </row>
    <row r="347" spans="1:12" x14ac:dyDescent="0.3">
      <c r="A347" t="s">
        <v>733</v>
      </c>
      <c r="B347" t="s">
        <v>1083</v>
      </c>
      <c r="C347" t="s">
        <v>188</v>
      </c>
      <c r="D347" t="s">
        <v>246</v>
      </c>
      <c r="E347" t="s">
        <v>603</v>
      </c>
      <c r="F347" t="s">
        <v>2184</v>
      </c>
      <c r="G347" t="s">
        <v>2374</v>
      </c>
      <c r="H347" t="s">
        <v>2374</v>
      </c>
      <c r="I347" t="s">
        <v>2374</v>
      </c>
      <c r="J347" t="str">
        <f>IF(COUNTIF(Table5[Country],Table310[Country])&gt;0,"Y","N")</f>
        <v>N</v>
      </c>
      <c r="K347">
        <f>IF(Table310[[#This Row],[Adverse Media]]="Y",15,0)+IF(Table310[[#This Row],[PEP]]="Y",50,0)+IF(Table310[[#This Row],[Sanctions]]="Y",70,0)+IF(Table310[[#This Row],[High Risk Country]]="Y",25,0)</f>
        <v>0</v>
      </c>
      <c r="L347" t="str">
        <f>_xlfn.IFS(Table310[[#This Row],[Risk Score]]&gt;=85,"Critical",Table310[[#This Row],[Risk Score]]&gt;=65,"High",Table310[[#This Row],[Risk Score]]&gt;=45,"Medium",TRUE,"Low")</f>
        <v>Low</v>
      </c>
    </row>
    <row r="348" spans="1:12" x14ac:dyDescent="0.3">
      <c r="A348" t="s">
        <v>734</v>
      </c>
      <c r="B348" t="s">
        <v>1084</v>
      </c>
      <c r="C348" t="s">
        <v>188</v>
      </c>
      <c r="D348" t="s">
        <v>239</v>
      </c>
      <c r="E348" t="s">
        <v>1940</v>
      </c>
      <c r="F348" t="s">
        <v>2185</v>
      </c>
      <c r="G348" t="s">
        <v>2374</v>
      </c>
      <c r="H348" t="s">
        <v>2374</v>
      </c>
      <c r="I348" t="s">
        <v>2374</v>
      </c>
      <c r="J348" t="str">
        <f>IF(COUNTIF(Table5[Country],Table310[Country])&gt;0,"Y","N")</f>
        <v>N</v>
      </c>
      <c r="K348">
        <f>IF(Table310[[#This Row],[Adverse Media]]="Y",15,0)+IF(Table310[[#This Row],[PEP]]="Y",50,0)+IF(Table310[[#This Row],[Sanctions]]="Y",70,0)+IF(Table310[[#This Row],[High Risk Country]]="Y",25,0)</f>
        <v>0</v>
      </c>
      <c r="L348" t="str">
        <f>_xlfn.IFS(Table310[[#This Row],[Risk Score]]&gt;=85,"Critical",Table310[[#This Row],[Risk Score]]&gt;=65,"High",Table310[[#This Row],[Risk Score]]&gt;=45,"Medium",TRUE,"Low")</f>
        <v>Low</v>
      </c>
    </row>
    <row r="349" spans="1:12" x14ac:dyDescent="0.3">
      <c r="A349" t="s">
        <v>735</v>
      </c>
      <c r="B349" t="s">
        <v>1085</v>
      </c>
      <c r="C349" t="s">
        <v>188</v>
      </c>
      <c r="D349" t="s">
        <v>201</v>
      </c>
      <c r="E349" t="s">
        <v>1818</v>
      </c>
      <c r="F349" t="s">
        <v>2186</v>
      </c>
      <c r="G349" t="s">
        <v>2374</v>
      </c>
      <c r="H349" t="s">
        <v>2374</v>
      </c>
      <c r="I349" t="s">
        <v>2374</v>
      </c>
      <c r="J349" t="str">
        <f>IF(COUNTIF(Table5[Country],Table310[Country])&gt;0,"Y","N")</f>
        <v>N</v>
      </c>
      <c r="K349">
        <f>IF(Table310[[#This Row],[Adverse Media]]="Y",15,0)+IF(Table310[[#This Row],[PEP]]="Y",50,0)+IF(Table310[[#This Row],[Sanctions]]="Y",70,0)+IF(Table310[[#This Row],[High Risk Country]]="Y",25,0)</f>
        <v>0</v>
      </c>
      <c r="L349" t="str">
        <f>_xlfn.IFS(Table310[[#This Row],[Risk Score]]&gt;=85,"Critical",Table310[[#This Row],[Risk Score]]&gt;=65,"High",Table310[[#This Row],[Risk Score]]&gt;=45,"Medium",TRUE,"Low")</f>
        <v>Low</v>
      </c>
    </row>
    <row r="350" spans="1:12" x14ac:dyDescent="0.3">
      <c r="A350" t="s">
        <v>736</v>
      </c>
      <c r="B350" t="s">
        <v>1086</v>
      </c>
      <c r="C350" t="s">
        <v>188</v>
      </c>
      <c r="D350" t="s">
        <v>226</v>
      </c>
      <c r="E350" t="s">
        <v>636</v>
      </c>
      <c r="F350" t="s">
        <v>2187</v>
      </c>
      <c r="G350" t="s">
        <v>2374</v>
      </c>
      <c r="H350" t="s">
        <v>2374</v>
      </c>
      <c r="I350" t="s">
        <v>2374</v>
      </c>
      <c r="J350" t="str">
        <f>IF(COUNTIF(Table5[Country],Table310[Country])&gt;0,"Y","N")</f>
        <v>N</v>
      </c>
      <c r="K350">
        <f>IF(Table310[[#This Row],[Adverse Media]]="Y",15,0)+IF(Table310[[#This Row],[PEP]]="Y",50,0)+IF(Table310[[#This Row],[Sanctions]]="Y",70,0)+IF(Table310[[#This Row],[High Risk Country]]="Y",25,0)</f>
        <v>0</v>
      </c>
      <c r="L350" t="str">
        <f>_xlfn.IFS(Table310[[#This Row],[Risk Score]]&gt;=85,"Critical",Table310[[#This Row],[Risk Score]]&gt;=65,"High",Table310[[#This Row],[Risk Score]]&gt;=45,"Medium",TRUE,"Low")</f>
        <v>Low</v>
      </c>
    </row>
    <row r="351" spans="1:12" x14ac:dyDescent="0.3">
      <c r="A351" t="s">
        <v>737</v>
      </c>
      <c r="B351" t="s">
        <v>1087</v>
      </c>
      <c r="C351" t="s">
        <v>188</v>
      </c>
      <c r="D351" t="s">
        <v>240</v>
      </c>
      <c r="E351" t="s">
        <v>1941</v>
      </c>
      <c r="F351" t="s">
        <v>627</v>
      </c>
      <c r="G351" t="s">
        <v>2374</v>
      </c>
      <c r="H351" t="s">
        <v>2374</v>
      </c>
      <c r="I351" t="s">
        <v>2374</v>
      </c>
      <c r="J351" t="str">
        <f>IF(COUNTIF(Table5[Country],Table310[Country])&gt;0,"Y","N")</f>
        <v>N</v>
      </c>
      <c r="K351">
        <f>IF(Table310[[#This Row],[Adverse Media]]="Y",15,0)+IF(Table310[[#This Row],[PEP]]="Y",50,0)+IF(Table310[[#This Row],[Sanctions]]="Y",70,0)+IF(Table310[[#This Row],[High Risk Country]]="Y",25,0)</f>
        <v>0</v>
      </c>
      <c r="L351" t="str">
        <f>_xlfn.IFS(Table310[[#This Row],[Risk Score]]&gt;=85,"Critical",Table310[[#This Row],[Risk Score]]&gt;=65,"High",Table310[[#This Row],[Risk Score]]&gt;=45,"Medium",TRUE,"Low")</f>
        <v>Low</v>
      </c>
    </row>
    <row r="352" spans="1:12" x14ac:dyDescent="0.3">
      <c r="A352" t="s">
        <v>738</v>
      </c>
      <c r="B352" t="s">
        <v>1088</v>
      </c>
      <c r="C352" t="s">
        <v>188</v>
      </c>
      <c r="D352" t="s">
        <v>226</v>
      </c>
      <c r="E352" t="s">
        <v>1942</v>
      </c>
      <c r="F352" t="s">
        <v>2188</v>
      </c>
      <c r="G352" t="s">
        <v>2374</v>
      </c>
      <c r="H352" t="s">
        <v>2374</v>
      </c>
      <c r="I352" t="s">
        <v>2374</v>
      </c>
      <c r="J352" t="str">
        <f>IF(COUNTIF(Table5[Country],Table310[Country])&gt;0,"Y","N")</f>
        <v>N</v>
      </c>
      <c r="K352">
        <f>IF(Table310[[#This Row],[Adverse Media]]="Y",15,0)+IF(Table310[[#This Row],[PEP]]="Y",50,0)+IF(Table310[[#This Row],[Sanctions]]="Y",70,0)+IF(Table310[[#This Row],[High Risk Country]]="Y",25,0)</f>
        <v>0</v>
      </c>
      <c r="L352" t="str">
        <f>_xlfn.IFS(Table310[[#This Row],[Risk Score]]&gt;=85,"Critical",Table310[[#This Row],[Risk Score]]&gt;=65,"High",Table310[[#This Row],[Risk Score]]&gt;=45,"Medium",TRUE,"Low")</f>
        <v>Low</v>
      </c>
    </row>
    <row r="353" spans="1:12" x14ac:dyDescent="0.3">
      <c r="A353" t="s">
        <v>739</v>
      </c>
      <c r="B353" t="s">
        <v>1089</v>
      </c>
      <c r="C353" t="s">
        <v>188</v>
      </c>
      <c r="D353" t="s">
        <v>238</v>
      </c>
      <c r="E353" t="s">
        <v>561</v>
      </c>
      <c r="F353" t="s">
        <v>2189</v>
      </c>
      <c r="G353" t="s">
        <v>2374</v>
      </c>
      <c r="H353" t="s">
        <v>2374</v>
      </c>
      <c r="I353" t="s">
        <v>2374</v>
      </c>
      <c r="J353" t="str">
        <f>IF(COUNTIF(Table5[Country],Table310[Country])&gt;0,"Y","N")</f>
        <v>N</v>
      </c>
      <c r="K353">
        <f>IF(Table310[[#This Row],[Adverse Media]]="Y",15,0)+IF(Table310[[#This Row],[PEP]]="Y",50,0)+IF(Table310[[#This Row],[Sanctions]]="Y",70,0)+IF(Table310[[#This Row],[High Risk Country]]="Y",25,0)</f>
        <v>0</v>
      </c>
      <c r="L353" t="str">
        <f>_xlfn.IFS(Table310[[#This Row],[Risk Score]]&gt;=85,"Critical",Table310[[#This Row],[Risk Score]]&gt;=65,"High",Table310[[#This Row],[Risk Score]]&gt;=45,"Medium",TRUE,"Low")</f>
        <v>Low</v>
      </c>
    </row>
    <row r="354" spans="1:12" x14ac:dyDescent="0.3">
      <c r="A354" t="s">
        <v>740</v>
      </c>
      <c r="B354" t="s">
        <v>1090</v>
      </c>
      <c r="C354" t="s">
        <v>188</v>
      </c>
      <c r="D354" t="s">
        <v>217</v>
      </c>
      <c r="E354" t="s">
        <v>612</v>
      </c>
      <c r="F354" t="s">
        <v>2164</v>
      </c>
      <c r="G354" t="s">
        <v>2374</v>
      </c>
      <c r="H354" t="s">
        <v>2374</v>
      </c>
      <c r="I354" t="s">
        <v>2374</v>
      </c>
      <c r="J354" t="str">
        <f>IF(COUNTIF(Table5[Country],Table310[Country])&gt;0,"Y","N")</f>
        <v>Y</v>
      </c>
      <c r="K354">
        <f>IF(Table310[[#This Row],[Adverse Media]]="Y",15,0)+IF(Table310[[#This Row],[PEP]]="Y",50,0)+IF(Table310[[#This Row],[Sanctions]]="Y",70,0)+IF(Table310[[#This Row],[High Risk Country]]="Y",25,0)</f>
        <v>25</v>
      </c>
      <c r="L354" t="str">
        <f>_xlfn.IFS(Table310[[#This Row],[Risk Score]]&gt;=85,"Critical",Table310[[#This Row],[Risk Score]]&gt;=65,"High",Table310[[#This Row],[Risk Score]]&gt;=45,"Medium",TRUE,"Low")</f>
        <v>Low</v>
      </c>
    </row>
    <row r="355" spans="1:12" x14ac:dyDescent="0.3">
      <c r="A355" t="s">
        <v>741</v>
      </c>
      <c r="B355" t="s">
        <v>1091</v>
      </c>
      <c r="C355" t="s">
        <v>188</v>
      </c>
      <c r="D355" t="s">
        <v>236</v>
      </c>
      <c r="E355" t="s">
        <v>328</v>
      </c>
      <c r="F355" t="s">
        <v>364</v>
      </c>
      <c r="G355" t="s">
        <v>2375</v>
      </c>
      <c r="H355" t="s">
        <v>2374</v>
      </c>
      <c r="I355" t="s">
        <v>2374</v>
      </c>
      <c r="J355" t="str">
        <f>IF(COUNTIF(Table5[Country],Table310[Country])&gt;0,"Y","N")</f>
        <v>Y</v>
      </c>
      <c r="K355">
        <f>IF(Table310[[#This Row],[Adverse Media]]="Y",15,0)+IF(Table310[[#This Row],[PEP]]="Y",50,0)+IF(Table310[[#This Row],[Sanctions]]="Y",70,0)+IF(Table310[[#This Row],[High Risk Country]]="Y",25,0)</f>
        <v>40</v>
      </c>
      <c r="L355" t="str">
        <f>_xlfn.IFS(Table310[[#This Row],[Risk Score]]&gt;=85,"Critical",Table310[[#This Row],[Risk Score]]&gt;=65,"High",Table310[[#This Row],[Risk Score]]&gt;=45,"Medium",TRUE,"Low")</f>
        <v>Low</v>
      </c>
    </row>
    <row r="356" spans="1:12" x14ac:dyDescent="0.3">
      <c r="A356" t="s">
        <v>742</v>
      </c>
      <c r="B356" t="s">
        <v>1092</v>
      </c>
      <c r="C356" t="s">
        <v>188</v>
      </c>
      <c r="D356" t="s">
        <v>198</v>
      </c>
      <c r="E356" t="s">
        <v>1943</v>
      </c>
      <c r="F356" t="s">
        <v>587</v>
      </c>
      <c r="G356" t="s">
        <v>2375</v>
      </c>
      <c r="H356" t="s">
        <v>2374</v>
      </c>
      <c r="I356" t="s">
        <v>2374</v>
      </c>
      <c r="J356" t="str">
        <f>IF(COUNTIF(Table5[Country],Table310[Country])&gt;0,"Y","N")</f>
        <v>N</v>
      </c>
      <c r="K356">
        <f>IF(Table310[[#This Row],[Adverse Media]]="Y",15,0)+IF(Table310[[#This Row],[PEP]]="Y",50,0)+IF(Table310[[#This Row],[Sanctions]]="Y",70,0)+IF(Table310[[#This Row],[High Risk Country]]="Y",25,0)</f>
        <v>15</v>
      </c>
      <c r="L356" t="str">
        <f>_xlfn.IFS(Table310[[#This Row],[Risk Score]]&gt;=85,"Critical",Table310[[#This Row],[Risk Score]]&gt;=65,"High",Table310[[#This Row],[Risk Score]]&gt;=45,"Medium",TRUE,"Low")</f>
        <v>Low</v>
      </c>
    </row>
    <row r="357" spans="1:12" x14ac:dyDescent="0.3">
      <c r="A357" t="s">
        <v>743</v>
      </c>
      <c r="B357" t="s">
        <v>1093</v>
      </c>
      <c r="C357" t="s">
        <v>188</v>
      </c>
      <c r="D357" t="s">
        <v>227</v>
      </c>
      <c r="E357" t="s">
        <v>1944</v>
      </c>
      <c r="F357" t="s">
        <v>2190</v>
      </c>
      <c r="G357" t="s">
        <v>2375</v>
      </c>
      <c r="H357" t="s">
        <v>2374</v>
      </c>
      <c r="I357" t="s">
        <v>2374</v>
      </c>
      <c r="J357" t="str">
        <f>IF(COUNTIF(Table5[Country],Table310[Country])&gt;0,"Y","N")</f>
        <v>N</v>
      </c>
      <c r="K357">
        <f>IF(Table310[[#This Row],[Adverse Media]]="Y",15,0)+IF(Table310[[#This Row],[PEP]]="Y",50,0)+IF(Table310[[#This Row],[Sanctions]]="Y",70,0)+IF(Table310[[#This Row],[High Risk Country]]="Y",25,0)</f>
        <v>15</v>
      </c>
      <c r="L357" t="str">
        <f>_xlfn.IFS(Table310[[#This Row],[Risk Score]]&gt;=85,"Critical",Table310[[#This Row],[Risk Score]]&gt;=65,"High",Table310[[#This Row],[Risk Score]]&gt;=45,"Medium",TRUE,"Low")</f>
        <v>Low</v>
      </c>
    </row>
    <row r="358" spans="1:12" x14ac:dyDescent="0.3">
      <c r="A358" t="s">
        <v>744</v>
      </c>
      <c r="B358" t="s">
        <v>1094</v>
      </c>
      <c r="C358" t="s">
        <v>188</v>
      </c>
      <c r="D358" t="s">
        <v>228</v>
      </c>
      <c r="E358" t="s">
        <v>556</v>
      </c>
      <c r="F358" t="s">
        <v>2191</v>
      </c>
      <c r="G358" t="s">
        <v>2375</v>
      </c>
      <c r="H358" t="s">
        <v>2375</v>
      </c>
      <c r="I358" t="s">
        <v>2374</v>
      </c>
      <c r="J358" t="str">
        <f>IF(COUNTIF(Table5[Country],Table310[Country])&gt;0,"Y","N")</f>
        <v>N</v>
      </c>
      <c r="K358">
        <f>IF(Table310[[#This Row],[Adverse Media]]="Y",15,0)+IF(Table310[[#This Row],[PEP]]="Y",50,0)+IF(Table310[[#This Row],[Sanctions]]="Y",70,0)+IF(Table310[[#This Row],[High Risk Country]]="Y",25,0)</f>
        <v>65</v>
      </c>
      <c r="L358" t="str">
        <f>_xlfn.IFS(Table310[[#This Row],[Risk Score]]&gt;=85,"Critical",Table310[[#This Row],[Risk Score]]&gt;=65,"High",Table310[[#This Row],[Risk Score]]&gt;=45,"Medium",TRUE,"Low")</f>
        <v>High</v>
      </c>
    </row>
    <row r="359" spans="1:12" x14ac:dyDescent="0.3">
      <c r="A359" t="s">
        <v>745</v>
      </c>
      <c r="B359" t="s">
        <v>1095</v>
      </c>
      <c r="C359" t="s">
        <v>188</v>
      </c>
      <c r="D359" t="s">
        <v>209</v>
      </c>
      <c r="E359" t="s">
        <v>1945</v>
      </c>
      <c r="F359" t="s">
        <v>2192</v>
      </c>
      <c r="G359" t="s">
        <v>2374</v>
      </c>
      <c r="H359" t="s">
        <v>2374</v>
      </c>
      <c r="I359" t="s">
        <v>2374</v>
      </c>
      <c r="J359" t="str">
        <f>IF(COUNTIF(Table5[Country],Table310[Country])&gt;0,"Y","N")</f>
        <v>N</v>
      </c>
      <c r="K359">
        <f>IF(Table310[[#This Row],[Adverse Media]]="Y",15,0)+IF(Table310[[#This Row],[PEP]]="Y",50,0)+IF(Table310[[#This Row],[Sanctions]]="Y",70,0)+IF(Table310[[#This Row],[High Risk Country]]="Y",25,0)</f>
        <v>0</v>
      </c>
      <c r="L359" t="str">
        <f>_xlfn.IFS(Table310[[#This Row],[Risk Score]]&gt;=85,"Critical",Table310[[#This Row],[Risk Score]]&gt;=65,"High",Table310[[#This Row],[Risk Score]]&gt;=45,"Medium",TRUE,"Low")</f>
        <v>Low</v>
      </c>
    </row>
    <row r="360" spans="1:12" x14ac:dyDescent="0.3">
      <c r="A360" t="s">
        <v>746</v>
      </c>
      <c r="B360" t="s">
        <v>1096</v>
      </c>
      <c r="C360" t="s">
        <v>188</v>
      </c>
      <c r="D360" t="s">
        <v>223</v>
      </c>
      <c r="E360" t="s">
        <v>509</v>
      </c>
      <c r="F360" t="s">
        <v>2193</v>
      </c>
      <c r="G360" t="s">
        <v>2374</v>
      </c>
      <c r="H360" t="s">
        <v>2374</v>
      </c>
      <c r="I360" t="s">
        <v>2374</v>
      </c>
      <c r="J360" t="str">
        <f>IF(COUNTIF(Table5[Country],Table310[Country])&gt;0,"Y","N")</f>
        <v>N</v>
      </c>
      <c r="K360">
        <f>IF(Table310[[#This Row],[Adverse Media]]="Y",15,0)+IF(Table310[[#This Row],[PEP]]="Y",50,0)+IF(Table310[[#This Row],[Sanctions]]="Y",70,0)+IF(Table310[[#This Row],[High Risk Country]]="Y",25,0)</f>
        <v>0</v>
      </c>
      <c r="L360" t="str">
        <f>_xlfn.IFS(Table310[[#This Row],[Risk Score]]&gt;=85,"Critical",Table310[[#This Row],[Risk Score]]&gt;=65,"High",Table310[[#This Row],[Risk Score]]&gt;=45,"Medium",TRUE,"Low")</f>
        <v>Low</v>
      </c>
    </row>
    <row r="361" spans="1:12" x14ac:dyDescent="0.3">
      <c r="A361" t="s">
        <v>747</v>
      </c>
      <c r="B361" t="s">
        <v>1097</v>
      </c>
      <c r="C361" t="s">
        <v>188</v>
      </c>
      <c r="D361" t="s">
        <v>223</v>
      </c>
      <c r="E361" t="s">
        <v>1946</v>
      </c>
      <c r="F361" t="s">
        <v>431</v>
      </c>
      <c r="G361" t="s">
        <v>2374</v>
      </c>
      <c r="H361" t="s">
        <v>2374</v>
      </c>
      <c r="I361" t="s">
        <v>2374</v>
      </c>
      <c r="J361" t="str">
        <f>IF(COUNTIF(Table5[Country],Table310[Country])&gt;0,"Y","N")</f>
        <v>N</v>
      </c>
      <c r="K361">
        <f>IF(Table310[[#This Row],[Adverse Media]]="Y",15,0)+IF(Table310[[#This Row],[PEP]]="Y",50,0)+IF(Table310[[#This Row],[Sanctions]]="Y",70,0)+IF(Table310[[#This Row],[High Risk Country]]="Y",25,0)</f>
        <v>0</v>
      </c>
      <c r="L361" t="str">
        <f>_xlfn.IFS(Table310[[#This Row],[Risk Score]]&gt;=85,"Critical",Table310[[#This Row],[Risk Score]]&gt;=65,"High",Table310[[#This Row],[Risk Score]]&gt;=45,"Medium",TRUE,"Low")</f>
        <v>Low</v>
      </c>
    </row>
    <row r="362" spans="1:12" x14ac:dyDescent="0.3">
      <c r="A362" t="s">
        <v>748</v>
      </c>
      <c r="B362" t="s">
        <v>1098</v>
      </c>
      <c r="C362" t="s">
        <v>188</v>
      </c>
      <c r="D362" t="s">
        <v>196</v>
      </c>
      <c r="E362" t="s">
        <v>1947</v>
      </c>
      <c r="F362" t="s">
        <v>452</v>
      </c>
      <c r="G362" t="s">
        <v>2375</v>
      </c>
      <c r="H362" t="s">
        <v>2375</v>
      </c>
      <c r="I362" t="s">
        <v>2374</v>
      </c>
      <c r="J362" t="str">
        <f>IF(COUNTIF(Table5[Country],Table310[Country])&gt;0,"Y","N")</f>
        <v>Y</v>
      </c>
      <c r="K362">
        <f>IF(Table310[[#This Row],[Adverse Media]]="Y",15,0)+IF(Table310[[#This Row],[PEP]]="Y",50,0)+IF(Table310[[#This Row],[Sanctions]]="Y",70,0)+IF(Table310[[#This Row],[High Risk Country]]="Y",25,0)</f>
        <v>90</v>
      </c>
      <c r="L362" t="str">
        <f>_xlfn.IFS(Table310[[#This Row],[Risk Score]]&gt;=85,"Critical",Table310[[#This Row],[Risk Score]]&gt;=65,"High",Table310[[#This Row],[Risk Score]]&gt;=45,"Medium",TRUE,"Low")</f>
        <v>Critical</v>
      </c>
    </row>
    <row r="363" spans="1:12" x14ac:dyDescent="0.3">
      <c r="A363" t="s">
        <v>749</v>
      </c>
      <c r="B363" t="s">
        <v>1099</v>
      </c>
      <c r="C363" t="s">
        <v>188</v>
      </c>
      <c r="D363" t="s">
        <v>228</v>
      </c>
      <c r="E363" t="s">
        <v>493</v>
      </c>
      <c r="F363" t="s">
        <v>429</v>
      </c>
      <c r="G363" t="s">
        <v>2375</v>
      </c>
      <c r="H363" t="s">
        <v>2375</v>
      </c>
      <c r="I363" t="s">
        <v>2374</v>
      </c>
      <c r="J363" t="str">
        <f>IF(COUNTIF(Table5[Country],Table310[Country])&gt;0,"Y","N")</f>
        <v>N</v>
      </c>
      <c r="K363">
        <f>IF(Table310[[#This Row],[Adverse Media]]="Y",15,0)+IF(Table310[[#This Row],[PEP]]="Y",50,0)+IF(Table310[[#This Row],[Sanctions]]="Y",70,0)+IF(Table310[[#This Row],[High Risk Country]]="Y",25,0)</f>
        <v>65</v>
      </c>
      <c r="L363" t="str">
        <f>_xlfn.IFS(Table310[[#This Row],[Risk Score]]&gt;=85,"Critical",Table310[[#This Row],[Risk Score]]&gt;=65,"High",Table310[[#This Row],[Risk Score]]&gt;=45,"Medium",TRUE,"Low")</f>
        <v>High</v>
      </c>
    </row>
    <row r="364" spans="1:12" x14ac:dyDescent="0.3">
      <c r="A364" t="s">
        <v>750</v>
      </c>
      <c r="B364" t="s">
        <v>1100</v>
      </c>
      <c r="C364" t="s">
        <v>188</v>
      </c>
      <c r="D364" t="s">
        <v>244</v>
      </c>
      <c r="E364" t="s">
        <v>1855</v>
      </c>
      <c r="F364" t="s">
        <v>2194</v>
      </c>
      <c r="G364" t="s">
        <v>2375</v>
      </c>
      <c r="H364" t="s">
        <v>2374</v>
      </c>
      <c r="I364" t="s">
        <v>2374</v>
      </c>
      <c r="J364" t="str">
        <f>IF(COUNTIF(Table5[Country],Table310[Country])&gt;0,"Y","N")</f>
        <v>Y</v>
      </c>
      <c r="K364">
        <f>IF(Table310[[#This Row],[Adverse Media]]="Y",15,0)+IF(Table310[[#This Row],[PEP]]="Y",50,0)+IF(Table310[[#This Row],[Sanctions]]="Y",70,0)+IF(Table310[[#This Row],[High Risk Country]]="Y",25,0)</f>
        <v>40</v>
      </c>
      <c r="L364" t="str">
        <f>_xlfn.IFS(Table310[[#This Row],[Risk Score]]&gt;=85,"Critical",Table310[[#This Row],[Risk Score]]&gt;=65,"High",Table310[[#This Row],[Risk Score]]&gt;=45,"Medium",TRUE,"Low")</f>
        <v>Low</v>
      </c>
    </row>
    <row r="365" spans="1:12" x14ac:dyDescent="0.3">
      <c r="A365" t="s">
        <v>751</v>
      </c>
      <c r="B365" t="s">
        <v>1101</v>
      </c>
      <c r="C365" t="s">
        <v>188</v>
      </c>
      <c r="D365" t="s">
        <v>242</v>
      </c>
      <c r="E365" t="s">
        <v>1948</v>
      </c>
      <c r="F365" t="s">
        <v>2195</v>
      </c>
      <c r="G365" t="s">
        <v>2374</v>
      </c>
      <c r="H365" t="s">
        <v>2375</v>
      </c>
      <c r="I365" t="s">
        <v>2374</v>
      </c>
      <c r="J365" t="str">
        <f>IF(COUNTIF(Table5[Country],Table310[Country])&gt;0,"Y","N")</f>
        <v>N</v>
      </c>
      <c r="K365">
        <f>IF(Table310[[#This Row],[Adverse Media]]="Y",15,0)+IF(Table310[[#This Row],[PEP]]="Y",50,0)+IF(Table310[[#This Row],[Sanctions]]="Y",70,0)+IF(Table310[[#This Row],[High Risk Country]]="Y",25,0)</f>
        <v>50</v>
      </c>
      <c r="L365" t="str">
        <f>_xlfn.IFS(Table310[[#This Row],[Risk Score]]&gt;=85,"Critical",Table310[[#This Row],[Risk Score]]&gt;=65,"High",Table310[[#This Row],[Risk Score]]&gt;=45,"Medium",TRUE,"Low")</f>
        <v>Medium</v>
      </c>
    </row>
    <row r="366" spans="1:12" x14ac:dyDescent="0.3">
      <c r="A366" t="s">
        <v>752</v>
      </c>
      <c r="B366" t="s">
        <v>1102</v>
      </c>
      <c r="C366" t="s">
        <v>188</v>
      </c>
      <c r="D366" t="s">
        <v>209</v>
      </c>
      <c r="E366" t="s">
        <v>1949</v>
      </c>
      <c r="F366" t="s">
        <v>2196</v>
      </c>
      <c r="G366" t="s">
        <v>2374</v>
      </c>
      <c r="H366" t="s">
        <v>2374</v>
      </c>
      <c r="I366" t="s">
        <v>2374</v>
      </c>
      <c r="J366" t="str">
        <f>IF(COUNTIF(Table5[Country],Table310[Country])&gt;0,"Y","N")</f>
        <v>N</v>
      </c>
      <c r="K366">
        <f>IF(Table310[[#This Row],[Adverse Media]]="Y",15,0)+IF(Table310[[#This Row],[PEP]]="Y",50,0)+IF(Table310[[#This Row],[Sanctions]]="Y",70,0)+IF(Table310[[#This Row],[High Risk Country]]="Y",25,0)</f>
        <v>0</v>
      </c>
      <c r="L366" t="str">
        <f>_xlfn.IFS(Table310[[#This Row],[Risk Score]]&gt;=85,"Critical",Table310[[#This Row],[Risk Score]]&gt;=65,"High",Table310[[#This Row],[Risk Score]]&gt;=45,"Medium",TRUE,"Low")</f>
        <v>Low</v>
      </c>
    </row>
    <row r="367" spans="1:12" x14ac:dyDescent="0.3">
      <c r="A367" t="s">
        <v>753</v>
      </c>
      <c r="B367" t="s">
        <v>1103</v>
      </c>
      <c r="C367" t="s">
        <v>188</v>
      </c>
      <c r="D367" t="s">
        <v>239</v>
      </c>
      <c r="E367" t="s">
        <v>1950</v>
      </c>
      <c r="F367" t="s">
        <v>2197</v>
      </c>
      <c r="G367" t="s">
        <v>2374</v>
      </c>
      <c r="H367" t="s">
        <v>2374</v>
      </c>
      <c r="I367" t="s">
        <v>2374</v>
      </c>
      <c r="J367" t="str">
        <f>IF(COUNTIF(Table5[Country],Table310[Country])&gt;0,"Y","N")</f>
        <v>N</v>
      </c>
      <c r="K367">
        <f>IF(Table310[[#This Row],[Adverse Media]]="Y",15,0)+IF(Table310[[#This Row],[PEP]]="Y",50,0)+IF(Table310[[#This Row],[Sanctions]]="Y",70,0)+IF(Table310[[#This Row],[High Risk Country]]="Y",25,0)</f>
        <v>0</v>
      </c>
      <c r="L367" t="str">
        <f>_xlfn.IFS(Table310[[#This Row],[Risk Score]]&gt;=85,"Critical",Table310[[#This Row],[Risk Score]]&gt;=65,"High",Table310[[#This Row],[Risk Score]]&gt;=45,"Medium",TRUE,"Low")</f>
        <v>Low</v>
      </c>
    </row>
    <row r="368" spans="1:12" x14ac:dyDescent="0.3">
      <c r="A368" t="s">
        <v>754</v>
      </c>
      <c r="B368" t="s">
        <v>1104</v>
      </c>
      <c r="C368" t="s">
        <v>188</v>
      </c>
      <c r="D368" t="s">
        <v>199</v>
      </c>
      <c r="E368" t="s">
        <v>529</v>
      </c>
      <c r="F368" t="s">
        <v>2198</v>
      </c>
      <c r="G368" t="s">
        <v>2374</v>
      </c>
      <c r="H368" t="s">
        <v>2374</v>
      </c>
      <c r="I368" t="s">
        <v>2374</v>
      </c>
      <c r="J368" t="str">
        <f>IF(COUNTIF(Table5[Country],Table310[Country])&gt;0,"Y","N")</f>
        <v>N</v>
      </c>
      <c r="K368">
        <f>IF(Table310[[#This Row],[Adverse Media]]="Y",15,0)+IF(Table310[[#This Row],[PEP]]="Y",50,0)+IF(Table310[[#This Row],[Sanctions]]="Y",70,0)+IF(Table310[[#This Row],[High Risk Country]]="Y",25,0)</f>
        <v>0</v>
      </c>
      <c r="L368" t="str">
        <f>_xlfn.IFS(Table310[[#This Row],[Risk Score]]&gt;=85,"Critical",Table310[[#This Row],[Risk Score]]&gt;=65,"High",Table310[[#This Row],[Risk Score]]&gt;=45,"Medium",TRUE,"Low")</f>
        <v>Low</v>
      </c>
    </row>
    <row r="369" spans="1:12" x14ac:dyDescent="0.3">
      <c r="A369" t="s">
        <v>755</v>
      </c>
      <c r="B369" t="s">
        <v>1105</v>
      </c>
      <c r="C369" t="s">
        <v>188</v>
      </c>
      <c r="D369" t="s">
        <v>216</v>
      </c>
      <c r="E369" t="s">
        <v>1951</v>
      </c>
      <c r="F369" t="s">
        <v>2199</v>
      </c>
      <c r="G369" t="s">
        <v>2375</v>
      </c>
      <c r="H369" t="s">
        <v>2375</v>
      </c>
      <c r="I369" t="s">
        <v>2374</v>
      </c>
      <c r="J369" t="str">
        <f>IF(COUNTIF(Table5[Country],Table310[Country])&gt;0,"Y","N")</f>
        <v>N</v>
      </c>
      <c r="K369">
        <f>IF(Table310[[#This Row],[Adverse Media]]="Y",15,0)+IF(Table310[[#This Row],[PEP]]="Y",50,0)+IF(Table310[[#This Row],[Sanctions]]="Y",70,0)+IF(Table310[[#This Row],[High Risk Country]]="Y",25,0)</f>
        <v>65</v>
      </c>
      <c r="L369" t="str">
        <f>_xlfn.IFS(Table310[[#This Row],[Risk Score]]&gt;=85,"Critical",Table310[[#This Row],[Risk Score]]&gt;=65,"High",Table310[[#This Row],[Risk Score]]&gt;=45,"Medium",TRUE,"Low")</f>
        <v>High</v>
      </c>
    </row>
    <row r="370" spans="1:12" x14ac:dyDescent="0.3">
      <c r="A370" t="s">
        <v>756</v>
      </c>
      <c r="B370" t="s">
        <v>1106</v>
      </c>
      <c r="C370" t="s">
        <v>188</v>
      </c>
      <c r="D370" t="s">
        <v>193</v>
      </c>
      <c r="E370" t="s">
        <v>1952</v>
      </c>
      <c r="F370" t="s">
        <v>2200</v>
      </c>
      <c r="G370" t="s">
        <v>2374</v>
      </c>
      <c r="H370" t="s">
        <v>2374</v>
      </c>
      <c r="I370" t="s">
        <v>2374</v>
      </c>
      <c r="J370" t="str">
        <f>IF(COUNTIF(Table5[Country],Table310[Country])&gt;0,"Y","N")</f>
        <v>Y</v>
      </c>
      <c r="K370">
        <f>IF(Table310[[#This Row],[Adverse Media]]="Y",15,0)+IF(Table310[[#This Row],[PEP]]="Y",50,0)+IF(Table310[[#This Row],[Sanctions]]="Y",70,0)+IF(Table310[[#This Row],[High Risk Country]]="Y",25,0)</f>
        <v>25</v>
      </c>
      <c r="L370" t="str">
        <f>_xlfn.IFS(Table310[[#This Row],[Risk Score]]&gt;=85,"Critical",Table310[[#This Row],[Risk Score]]&gt;=65,"High",Table310[[#This Row],[Risk Score]]&gt;=45,"Medium",TRUE,"Low")</f>
        <v>Low</v>
      </c>
    </row>
    <row r="371" spans="1:12" x14ac:dyDescent="0.3">
      <c r="A371" t="s">
        <v>757</v>
      </c>
      <c r="B371" t="s">
        <v>1107</v>
      </c>
      <c r="C371" t="s">
        <v>188</v>
      </c>
      <c r="D371" t="s">
        <v>237</v>
      </c>
      <c r="E371" t="s">
        <v>1953</v>
      </c>
      <c r="F371" t="s">
        <v>2088</v>
      </c>
      <c r="G371" t="s">
        <v>2374</v>
      </c>
      <c r="H371" t="s">
        <v>2374</v>
      </c>
      <c r="I371" t="s">
        <v>2374</v>
      </c>
      <c r="J371" t="str">
        <f>IF(COUNTIF(Table5[Country],Table310[Country])&gt;0,"Y","N")</f>
        <v>Y</v>
      </c>
      <c r="K371">
        <f>IF(Table310[[#This Row],[Adverse Media]]="Y",15,0)+IF(Table310[[#This Row],[PEP]]="Y",50,0)+IF(Table310[[#This Row],[Sanctions]]="Y",70,0)+IF(Table310[[#This Row],[High Risk Country]]="Y",25,0)</f>
        <v>25</v>
      </c>
      <c r="L371" t="str">
        <f>_xlfn.IFS(Table310[[#This Row],[Risk Score]]&gt;=85,"Critical",Table310[[#This Row],[Risk Score]]&gt;=65,"High",Table310[[#This Row],[Risk Score]]&gt;=45,"Medium",TRUE,"Low")</f>
        <v>Low</v>
      </c>
    </row>
    <row r="372" spans="1:12" x14ac:dyDescent="0.3">
      <c r="A372" t="s">
        <v>758</v>
      </c>
      <c r="B372" t="s">
        <v>1108</v>
      </c>
      <c r="C372" t="s">
        <v>188</v>
      </c>
      <c r="D372" t="s">
        <v>237</v>
      </c>
      <c r="E372" t="s">
        <v>1954</v>
      </c>
      <c r="F372" t="s">
        <v>2201</v>
      </c>
      <c r="G372" t="s">
        <v>2375</v>
      </c>
      <c r="H372" t="s">
        <v>2374</v>
      </c>
      <c r="I372" t="s">
        <v>2374</v>
      </c>
      <c r="J372" t="str">
        <f>IF(COUNTIF(Table5[Country],Table310[Country])&gt;0,"Y","N")</f>
        <v>Y</v>
      </c>
      <c r="K372">
        <f>IF(Table310[[#This Row],[Adverse Media]]="Y",15,0)+IF(Table310[[#This Row],[PEP]]="Y",50,0)+IF(Table310[[#This Row],[Sanctions]]="Y",70,0)+IF(Table310[[#This Row],[High Risk Country]]="Y",25,0)</f>
        <v>40</v>
      </c>
      <c r="L372" t="str">
        <f>_xlfn.IFS(Table310[[#This Row],[Risk Score]]&gt;=85,"Critical",Table310[[#This Row],[Risk Score]]&gt;=65,"High",Table310[[#This Row],[Risk Score]]&gt;=45,"Medium",TRUE,"Low")</f>
        <v>Low</v>
      </c>
    </row>
    <row r="373" spans="1:12" x14ac:dyDescent="0.3">
      <c r="A373" t="s">
        <v>759</v>
      </c>
      <c r="B373" t="s">
        <v>1109</v>
      </c>
      <c r="C373" t="s">
        <v>188</v>
      </c>
      <c r="D373" t="s">
        <v>224</v>
      </c>
      <c r="E373" t="s">
        <v>1955</v>
      </c>
      <c r="F373" t="s">
        <v>355</v>
      </c>
      <c r="G373" t="s">
        <v>2374</v>
      </c>
      <c r="H373" t="s">
        <v>2374</v>
      </c>
      <c r="I373" t="s">
        <v>2374</v>
      </c>
      <c r="J373" t="str">
        <f>IF(COUNTIF(Table5[Country],Table310[Country])&gt;0,"Y","N")</f>
        <v>Y</v>
      </c>
      <c r="K373">
        <f>IF(Table310[[#This Row],[Adverse Media]]="Y",15,0)+IF(Table310[[#This Row],[PEP]]="Y",50,0)+IF(Table310[[#This Row],[Sanctions]]="Y",70,0)+IF(Table310[[#This Row],[High Risk Country]]="Y",25,0)</f>
        <v>25</v>
      </c>
      <c r="L373" t="str">
        <f>_xlfn.IFS(Table310[[#This Row],[Risk Score]]&gt;=85,"Critical",Table310[[#This Row],[Risk Score]]&gt;=65,"High",Table310[[#This Row],[Risk Score]]&gt;=45,"Medium",TRUE,"Low")</f>
        <v>Low</v>
      </c>
    </row>
    <row r="374" spans="1:12" x14ac:dyDescent="0.3">
      <c r="A374" t="s">
        <v>760</v>
      </c>
      <c r="B374" t="s">
        <v>1110</v>
      </c>
      <c r="C374" t="s">
        <v>188</v>
      </c>
      <c r="D374" t="s">
        <v>211</v>
      </c>
      <c r="E374" t="s">
        <v>617</v>
      </c>
      <c r="F374" t="s">
        <v>2202</v>
      </c>
      <c r="G374" t="s">
        <v>2374</v>
      </c>
      <c r="H374" t="s">
        <v>2374</v>
      </c>
      <c r="I374" t="s">
        <v>2374</v>
      </c>
      <c r="J374" t="str">
        <f>IF(COUNTIF(Table5[Country],Table310[Country])&gt;0,"Y","N")</f>
        <v>N</v>
      </c>
      <c r="K374">
        <f>IF(Table310[[#This Row],[Adverse Media]]="Y",15,0)+IF(Table310[[#This Row],[PEP]]="Y",50,0)+IF(Table310[[#This Row],[Sanctions]]="Y",70,0)+IF(Table310[[#This Row],[High Risk Country]]="Y",25,0)</f>
        <v>0</v>
      </c>
      <c r="L374" t="str">
        <f>_xlfn.IFS(Table310[[#This Row],[Risk Score]]&gt;=85,"Critical",Table310[[#This Row],[Risk Score]]&gt;=65,"High",Table310[[#This Row],[Risk Score]]&gt;=45,"Medium",TRUE,"Low")</f>
        <v>Low</v>
      </c>
    </row>
    <row r="375" spans="1:12" x14ac:dyDescent="0.3">
      <c r="A375" t="s">
        <v>761</v>
      </c>
      <c r="B375" t="s">
        <v>1111</v>
      </c>
      <c r="C375" t="s">
        <v>188</v>
      </c>
      <c r="D375" t="s">
        <v>218</v>
      </c>
      <c r="E375" t="s">
        <v>1956</v>
      </c>
      <c r="F375" t="s">
        <v>2203</v>
      </c>
      <c r="G375" t="s">
        <v>2374</v>
      </c>
      <c r="H375" t="s">
        <v>2375</v>
      </c>
      <c r="I375" t="s">
        <v>2374</v>
      </c>
      <c r="J375" t="str">
        <f>IF(COUNTIF(Table5[Country],Table310[Country])&gt;0,"Y","N")</f>
        <v>N</v>
      </c>
      <c r="K375">
        <f>IF(Table310[[#This Row],[Adverse Media]]="Y",15,0)+IF(Table310[[#This Row],[PEP]]="Y",50,0)+IF(Table310[[#This Row],[Sanctions]]="Y",70,0)+IF(Table310[[#This Row],[High Risk Country]]="Y",25,0)</f>
        <v>50</v>
      </c>
      <c r="L375" t="str">
        <f>_xlfn.IFS(Table310[[#This Row],[Risk Score]]&gt;=85,"Critical",Table310[[#This Row],[Risk Score]]&gt;=65,"High",Table310[[#This Row],[Risk Score]]&gt;=45,"Medium",TRUE,"Low")</f>
        <v>Medium</v>
      </c>
    </row>
    <row r="376" spans="1:12" x14ac:dyDescent="0.3">
      <c r="A376" t="s">
        <v>762</v>
      </c>
      <c r="B376" t="s">
        <v>1112</v>
      </c>
      <c r="C376" t="s">
        <v>188</v>
      </c>
      <c r="D376" t="s">
        <v>222</v>
      </c>
      <c r="E376" t="s">
        <v>1957</v>
      </c>
      <c r="F376" t="s">
        <v>2204</v>
      </c>
      <c r="G376" t="s">
        <v>2374</v>
      </c>
      <c r="H376" t="s">
        <v>2375</v>
      </c>
      <c r="I376" t="s">
        <v>2374</v>
      </c>
      <c r="J376" t="str">
        <f>IF(COUNTIF(Table5[Country],Table310[Country])&gt;0,"Y","N")</f>
        <v>N</v>
      </c>
      <c r="K376">
        <f>IF(Table310[[#This Row],[Adverse Media]]="Y",15,0)+IF(Table310[[#This Row],[PEP]]="Y",50,0)+IF(Table310[[#This Row],[Sanctions]]="Y",70,0)+IF(Table310[[#This Row],[High Risk Country]]="Y",25,0)</f>
        <v>50</v>
      </c>
      <c r="L376" t="str">
        <f>_xlfn.IFS(Table310[[#This Row],[Risk Score]]&gt;=85,"Critical",Table310[[#This Row],[Risk Score]]&gt;=65,"High",Table310[[#This Row],[Risk Score]]&gt;=45,"Medium",TRUE,"Low")</f>
        <v>Medium</v>
      </c>
    </row>
    <row r="377" spans="1:12" x14ac:dyDescent="0.3">
      <c r="A377" t="s">
        <v>763</v>
      </c>
      <c r="B377" t="s">
        <v>1113</v>
      </c>
      <c r="C377" t="s">
        <v>188</v>
      </c>
      <c r="D377" t="s">
        <v>235</v>
      </c>
      <c r="E377" t="s">
        <v>1958</v>
      </c>
      <c r="F377" t="s">
        <v>2205</v>
      </c>
      <c r="G377" t="s">
        <v>2374</v>
      </c>
      <c r="H377" t="s">
        <v>2375</v>
      </c>
      <c r="I377" t="s">
        <v>2374</v>
      </c>
      <c r="J377" t="str">
        <f>IF(COUNTIF(Table5[Country],Table310[Country])&gt;0,"Y","N")</f>
        <v>N</v>
      </c>
      <c r="K377">
        <f>IF(Table310[[#This Row],[Adverse Media]]="Y",15,0)+IF(Table310[[#This Row],[PEP]]="Y",50,0)+IF(Table310[[#This Row],[Sanctions]]="Y",70,0)+IF(Table310[[#This Row],[High Risk Country]]="Y",25,0)</f>
        <v>50</v>
      </c>
      <c r="L377" t="str">
        <f>_xlfn.IFS(Table310[[#This Row],[Risk Score]]&gt;=85,"Critical",Table310[[#This Row],[Risk Score]]&gt;=65,"High",Table310[[#This Row],[Risk Score]]&gt;=45,"Medium",TRUE,"Low")</f>
        <v>Medium</v>
      </c>
    </row>
    <row r="378" spans="1:12" x14ac:dyDescent="0.3">
      <c r="A378" t="s">
        <v>764</v>
      </c>
      <c r="B378" t="s">
        <v>1114</v>
      </c>
      <c r="C378" t="s">
        <v>188</v>
      </c>
      <c r="D378" t="s">
        <v>226</v>
      </c>
      <c r="E378" t="s">
        <v>1959</v>
      </c>
      <c r="F378" t="s">
        <v>541</v>
      </c>
      <c r="G378" t="s">
        <v>2374</v>
      </c>
      <c r="H378" t="s">
        <v>2375</v>
      </c>
      <c r="I378" t="s">
        <v>2374</v>
      </c>
      <c r="J378" t="str">
        <f>IF(COUNTIF(Table5[Country],Table310[Country])&gt;0,"Y","N")</f>
        <v>N</v>
      </c>
      <c r="K378">
        <f>IF(Table310[[#This Row],[Adverse Media]]="Y",15,0)+IF(Table310[[#This Row],[PEP]]="Y",50,0)+IF(Table310[[#This Row],[Sanctions]]="Y",70,0)+IF(Table310[[#This Row],[High Risk Country]]="Y",25,0)</f>
        <v>50</v>
      </c>
      <c r="L378" t="str">
        <f>_xlfn.IFS(Table310[[#This Row],[Risk Score]]&gt;=85,"Critical",Table310[[#This Row],[Risk Score]]&gt;=65,"High",Table310[[#This Row],[Risk Score]]&gt;=45,"Medium",TRUE,"Low")</f>
        <v>Medium</v>
      </c>
    </row>
    <row r="379" spans="1:12" x14ac:dyDescent="0.3">
      <c r="A379" t="s">
        <v>765</v>
      </c>
      <c r="B379" t="s">
        <v>1115</v>
      </c>
      <c r="C379" t="s">
        <v>188</v>
      </c>
      <c r="D379" t="s">
        <v>201</v>
      </c>
      <c r="E379" t="s">
        <v>486</v>
      </c>
      <c r="F379" t="s">
        <v>2206</v>
      </c>
      <c r="G379" t="s">
        <v>2374</v>
      </c>
      <c r="H379" t="s">
        <v>2374</v>
      </c>
      <c r="I379" t="s">
        <v>2374</v>
      </c>
      <c r="J379" t="str">
        <f>IF(COUNTIF(Table5[Country],Table310[Country])&gt;0,"Y","N")</f>
        <v>N</v>
      </c>
      <c r="K379">
        <f>IF(Table310[[#This Row],[Adverse Media]]="Y",15,0)+IF(Table310[[#This Row],[PEP]]="Y",50,0)+IF(Table310[[#This Row],[Sanctions]]="Y",70,0)+IF(Table310[[#This Row],[High Risk Country]]="Y",25,0)</f>
        <v>0</v>
      </c>
      <c r="L379" t="str">
        <f>_xlfn.IFS(Table310[[#This Row],[Risk Score]]&gt;=85,"Critical",Table310[[#This Row],[Risk Score]]&gt;=65,"High",Table310[[#This Row],[Risk Score]]&gt;=45,"Medium",TRUE,"Low")</f>
        <v>Low</v>
      </c>
    </row>
    <row r="380" spans="1:12" x14ac:dyDescent="0.3">
      <c r="A380" t="s">
        <v>766</v>
      </c>
      <c r="B380" t="s">
        <v>1116</v>
      </c>
      <c r="C380" t="s">
        <v>188</v>
      </c>
      <c r="D380" t="s">
        <v>240</v>
      </c>
      <c r="E380" t="s">
        <v>558</v>
      </c>
      <c r="F380" t="s">
        <v>2207</v>
      </c>
      <c r="G380" t="s">
        <v>2374</v>
      </c>
      <c r="H380" t="s">
        <v>2374</v>
      </c>
      <c r="I380" t="s">
        <v>2374</v>
      </c>
      <c r="J380" t="str">
        <f>IF(COUNTIF(Table5[Country],Table310[Country])&gt;0,"Y","N")</f>
        <v>N</v>
      </c>
      <c r="K380">
        <f>IF(Table310[[#This Row],[Adverse Media]]="Y",15,0)+IF(Table310[[#This Row],[PEP]]="Y",50,0)+IF(Table310[[#This Row],[Sanctions]]="Y",70,0)+IF(Table310[[#This Row],[High Risk Country]]="Y",25,0)</f>
        <v>0</v>
      </c>
      <c r="L380" t="str">
        <f>_xlfn.IFS(Table310[[#This Row],[Risk Score]]&gt;=85,"Critical",Table310[[#This Row],[Risk Score]]&gt;=65,"High",Table310[[#This Row],[Risk Score]]&gt;=45,"Medium",TRUE,"Low")</f>
        <v>Low</v>
      </c>
    </row>
    <row r="381" spans="1:12" x14ac:dyDescent="0.3">
      <c r="A381" t="s">
        <v>767</v>
      </c>
      <c r="B381" t="s">
        <v>1117</v>
      </c>
      <c r="C381" t="s">
        <v>188</v>
      </c>
      <c r="D381" t="s">
        <v>224</v>
      </c>
      <c r="E381" t="s">
        <v>1960</v>
      </c>
      <c r="F381" t="s">
        <v>2208</v>
      </c>
      <c r="G381" t="s">
        <v>2374</v>
      </c>
      <c r="H381" t="s">
        <v>2375</v>
      </c>
      <c r="I381" t="s">
        <v>2374</v>
      </c>
      <c r="J381" t="str">
        <f>IF(COUNTIF(Table5[Country],Table310[Country])&gt;0,"Y","N")</f>
        <v>Y</v>
      </c>
      <c r="K381">
        <f>IF(Table310[[#This Row],[Adverse Media]]="Y",15,0)+IF(Table310[[#This Row],[PEP]]="Y",50,0)+IF(Table310[[#This Row],[Sanctions]]="Y",70,0)+IF(Table310[[#This Row],[High Risk Country]]="Y",25,0)</f>
        <v>75</v>
      </c>
      <c r="L381" t="str">
        <f>_xlfn.IFS(Table310[[#This Row],[Risk Score]]&gt;=85,"Critical",Table310[[#This Row],[Risk Score]]&gt;=65,"High",Table310[[#This Row],[Risk Score]]&gt;=45,"Medium",TRUE,"Low")</f>
        <v>High</v>
      </c>
    </row>
    <row r="382" spans="1:12" x14ac:dyDescent="0.3">
      <c r="A382" t="s">
        <v>768</v>
      </c>
      <c r="B382" t="s">
        <v>1118</v>
      </c>
      <c r="C382" t="s">
        <v>188</v>
      </c>
      <c r="D382" t="s">
        <v>216</v>
      </c>
      <c r="E382" t="s">
        <v>1961</v>
      </c>
      <c r="F382" t="s">
        <v>2209</v>
      </c>
      <c r="G382" t="s">
        <v>2374</v>
      </c>
      <c r="H382" t="s">
        <v>2375</v>
      </c>
      <c r="I382" t="s">
        <v>2374</v>
      </c>
      <c r="J382" t="str">
        <f>IF(COUNTIF(Table5[Country],Table310[Country])&gt;0,"Y","N")</f>
        <v>N</v>
      </c>
      <c r="K382">
        <f>IF(Table310[[#This Row],[Adverse Media]]="Y",15,0)+IF(Table310[[#This Row],[PEP]]="Y",50,0)+IF(Table310[[#This Row],[Sanctions]]="Y",70,0)+IF(Table310[[#This Row],[High Risk Country]]="Y",25,0)</f>
        <v>50</v>
      </c>
      <c r="L382" t="str">
        <f>_xlfn.IFS(Table310[[#This Row],[Risk Score]]&gt;=85,"Critical",Table310[[#This Row],[Risk Score]]&gt;=65,"High",Table310[[#This Row],[Risk Score]]&gt;=45,"Medium",TRUE,"Low")</f>
        <v>Medium</v>
      </c>
    </row>
    <row r="383" spans="1:12" x14ac:dyDescent="0.3">
      <c r="A383" t="s">
        <v>769</v>
      </c>
      <c r="B383" t="s">
        <v>1119</v>
      </c>
      <c r="C383" t="s">
        <v>188</v>
      </c>
      <c r="D383" t="s">
        <v>193</v>
      </c>
      <c r="E383" t="s">
        <v>1962</v>
      </c>
      <c r="F383" t="s">
        <v>2210</v>
      </c>
      <c r="G383" t="s">
        <v>2375</v>
      </c>
      <c r="H383" t="s">
        <v>2375</v>
      </c>
      <c r="I383" t="s">
        <v>2374</v>
      </c>
      <c r="J383" t="str">
        <f>IF(COUNTIF(Table5[Country],Table310[Country])&gt;0,"Y","N")</f>
        <v>Y</v>
      </c>
      <c r="K383">
        <f>IF(Table310[[#This Row],[Adverse Media]]="Y",15,0)+IF(Table310[[#This Row],[PEP]]="Y",50,0)+IF(Table310[[#This Row],[Sanctions]]="Y",70,0)+IF(Table310[[#This Row],[High Risk Country]]="Y",25,0)</f>
        <v>90</v>
      </c>
      <c r="L383" t="str">
        <f>_xlfn.IFS(Table310[[#This Row],[Risk Score]]&gt;=85,"Critical",Table310[[#This Row],[Risk Score]]&gt;=65,"High",Table310[[#This Row],[Risk Score]]&gt;=45,"Medium",TRUE,"Low")</f>
        <v>Critical</v>
      </c>
    </row>
    <row r="384" spans="1:12" x14ac:dyDescent="0.3">
      <c r="A384" t="s">
        <v>770</v>
      </c>
      <c r="B384" t="s">
        <v>1120</v>
      </c>
      <c r="C384" t="s">
        <v>188</v>
      </c>
      <c r="D384" t="s">
        <v>215</v>
      </c>
      <c r="E384" t="s">
        <v>1963</v>
      </c>
      <c r="F384" t="s">
        <v>2211</v>
      </c>
      <c r="G384" t="s">
        <v>2375</v>
      </c>
      <c r="H384" t="s">
        <v>2375</v>
      </c>
      <c r="I384" t="s">
        <v>2375</v>
      </c>
      <c r="J384" t="str">
        <f>IF(COUNTIF(Table5[Country],Table310[Country])&gt;0,"Y","N")</f>
        <v>Y</v>
      </c>
      <c r="K384">
        <f>IF(Table310[[#This Row],[Adverse Media]]="Y",15,0)+IF(Table310[[#This Row],[PEP]]="Y",50,0)+IF(Table310[[#This Row],[Sanctions]]="Y",70,0)+IF(Table310[[#This Row],[High Risk Country]]="Y",25,0)</f>
        <v>160</v>
      </c>
      <c r="L384" t="str">
        <f>_xlfn.IFS(Table310[[#This Row],[Risk Score]]&gt;=85,"Critical",Table310[[#This Row],[Risk Score]]&gt;=65,"High",Table310[[#This Row],[Risk Score]]&gt;=45,"Medium",TRUE,"Low")</f>
        <v>Critical</v>
      </c>
    </row>
    <row r="385" spans="1:12" x14ac:dyDescent="0.3">
      <c r="A385" t="s">
        <v>771</v>
      </c>
      <c r="B385" t="s">
        <v>1121</v>
      </c>
      <c r="C385" t="s">
        <v>188</v>
      </c>
      <c r="D385" t="s">
        <v>194</v>
      </c>
      <c r="E385" t="s">
        <v>568</v>
      </c>
      <c r="F385" t="s">
        <v>412</v>
      </c>
      <c r="G385" t="s">
        <v>2375</v>
      </c>
      <c r="H385" t="s">
        <v>2374</v>
      </c>
      <c r="I385" t="s">
        <v>2374</v>
      </c>
      <c r="J385" t="str">
        <f>IF(COUNTIF(Table5[Country],Table310[Country])&gt;0,"Y","N")</f>
        <v>Y</v>
      </c>
      <c r="K385">
        <f>IF(Table310[[#This Row],[Adverse Media]]="Y",15,0)+IF(Table310[[#This Row],[PEP]]="Y",50,0)+IF(Table310[[#This Row],[Sanctions]]="Y",70,0)+IF(Table310[[#This Row],[High Risk Country]]="Y",25,0)</f>
        <v>40</v>
      </c>
      <c r="L385" t="str">
        <f>_xlfn.IFS(Table310[[#This Row],[Risk Score]]&gt;=85,"Critical",Table310[[#This Row],[Risk Score]]&gt;=65,"High",Table310[[#This Row],[Risk Score]]&gt;=45,"Medium",TRUE,"Low")</f>
        <v>Low</v>
      </c>
    </row>
    <row r="386" spans="1:12" x14ac:dyDescent="0.3">
      <c r="A386" t="s">
        <v>772</v>
      </c>
      <c r="B386" t="s">
        <v>1122</v>
      </c>
      <c r="C386" t="s">
        <v>188</v>
      </c>
      <c r="D386" t="s">
        <v>208</v>
      </c>
      <c r="E386" t="s">
        <v>340</v>
      </c>
      <c r="F386" t="s">
        <v>2212</v>
      </c>
      <c r="G386" t="s">
        <v>2375</v>
      </c>
      <c r="H386" t="s">
        <v>2374</v>
      </c>
      <c r="I386" t="s">
        <v>2374</v>
      </c>
      <c r="J386" t="str">
        <f>IF(COUNTIF(Table5[Country],Table310[Country])&gt;0,"Y","N")</f>
        <v>Y</v>
      </c>
      <c r="K386">
        <f>IF(Table310[[#This Row],[Adverse Media]]="Y",15,0)+IF(Table310[[#This Row],[PEP]]="Y",50,0)+IF(Table310[[#This Row],[Sanctions]]="Y",70,0)+IF(Table310[[#This Row],[High Risk Country]]="Y",25,0)</f>
        <v>40</v>
      </c>
      <c r="L386" t="str">
        <f>_xlfn.IFS(Table310[[#This Row],[Risk Score]]&gt;=85,"Critical",Table310[[#This Row],[Risk Score]]&gt;=65,"High",Table310[[#This Row],[Risk Score]]&gt;=45,"Medium",TRUE,"Low")</f>
        <v>Low</v>
      </c>
    </row>
    <row r="387" spans="1:12" x14ac:dyDescent="0.3">
      <c r="A387" t="s">
        <v>773</v>
      </c>
      <c r="B387" t="s">
        <v>1123</v>
      </c>
      <c r="C387" t="s">
        <v>188</v>
      </c>
      <c r="D387" t="s">
        <v>190</v>
      </c>
      <c r="E387" t="s">
        <v>1964</v>
      </c>
      <c r="F387" t="s">
        <v>2213</v>
      </c>
      <c r="G387" t="s">
        <v>2375</v>
      </c>
      <c r="H387" t="s">
        <v>2375</v>
      </c>
      <c r="I387" t="s">
        <v>2374</v>
      </c>
      <c r="J387" t="str">
        <f>IF(COUNTIF(Table5[Country],Table310[Country])&gt;0,"Y","N")</f>
        <v>N</v>
      </c>
      <c r="K387">
        <f>IF(Table310[[#This Row],[Adverse Media]]="Y",15,0)+IF(Table310[[#This Row],[PEP]]="Y",50,0)+IF(Table310[[#This Row],[Sanctions]]="Y",70,0)+IF(Table310[[#This Row],[High Risk Country]]="Y",25,0)</f>
        <v>65</v>
      </c>
      <c r="L387" t="str">
        <f>_xlfn.IFS(Table310[[#This Row],[Risk Score]]&gt;=85,"Critical",Table310[[#This Row],[Risk Score]]&gt;=65,"High",Table310[[#This Row],[Risk Score]]&gt;=45,"Medium",TRUE,"Low")</f>
        <v>High</v>
      </c>
    </row>
    <row r="388" spans="1:12" x14ac:dyDescent="0.3">
      <c r="A388" t="s">
        <v>774</v>
      </c>
      <c r="B388" t="s">
        <v>1124</v>
      </c>
      <c r="C388" t="s">
        <v>188</v>
      </c>
      <c r="D388" t="s">
        <v>192</v>
      </c>
      <c r="E388" t="s">
        <v>1965</v>
      </c>
      <c r="F388" t="s">
        <v>2214</v>
      </c>
      <c r="G388" t="s">
        <v>2374</v>
      </c>
      <c r="H388" t="s">
        <v>2374</v>
      </c>
      <c r="I388" t="s">
        <v>2375</v>
      </c>
      <c r="J388" t="str">
        <f>IF(COUNTIF(Table5[Country],Table310[Country])&gt;0,"Y","N")</f>
        <v>N</v>
      </c>
      <c r="K388">
        <f>IF(Table310[[#This Row],[Adverse Media]]="Y",15,0)+IF(Table310[[#This Row],[PEP]]="Y",50,0)+IF(Table310[[#This Row],[Sanctions]]="Y",70,0)+IF(Table310[[#This Row],[High Risk Country]]="Y",25,0)</f>
        <v>70</v>
      </c>
      <c r="L388" t="str">
        <f>_xlfn.IFS(Table310[[#This Row],[Risk Score]]&gt;=85,"Critical",Table310[[#This Row],[Risk Score]]&gt;=65,"High",Table310[[#This Row],[Risk Score]]&gt;=45,"Medium",TRUE,"Low")</f>
        <v>High</v>
      </c>
    </row>
    <row r="389" spans="1:12" x14ac:dyDescent="0.3">
      <c r="A389" t="s">
        <v>775</v>
      </c>
      <c r="B389" t="s">
        <v>1125</v>
      </c>
      <c r="C389" t="s">
        <v>188</v>
      </c>
      <c r="D389" t="s">
        <v>246</v>
      </c>
      <c r="E389" t="s">
        <v>332</v>
      </c>
      <c r="F389" t="s">
        <v>2215</v>
      </c>
      <c r="G389" t="s">
        <v>2374</v>
      </c>
      <c r="H389" t="s">
        <v>2375</v>
      </c>
      <c r="I389" t="s">
        <v>2374</v>
      </c>
      <c r="J389" t="str">
        <f>IF(COUNTIF(Table5[Country],Table310[Country])&gt;0,"Y","N")</f>
        <v>N</v>
      </c>
      <c r="K389">
        <f>IF(Table310[[#This Row],[Adverse Media]]="Y",15,0)+IF(Table310[[#This Row],[PEP]]="Y",50,0)+IF(Table310[[#This Row],[Sanctions]]="Y",70,0)+IF(Table310[[#This Row],[High Risk Country]]="Y",25,0)</f>
        <v>50</v>
      </c>
      <c r="L389" t="str">
        <f>_xlfn.IFS(Table310[[#This Row],[Risk Score]]&gt;=85,"Critical",Table310[[#This Row],[Risk Score]]&gt;=65,"High",Table310[[#This Row],[Risk Score]]&gt;=45,"Medium",TRUE,"Low")</f>
        <v>Medium</v>
      </c>
    </row>
    <row r="390" spans="1:12" x14ac:dyDescent="0.3">
      <c r="A390" t="s">
        <v>776</v>
      </c>
      <c r="B390" t="s">
        <v>1126</v>
      </c>
      <c r="C390" t="s">
        <v>188</v>
      </c>
      <c r="D390" t="s">
        <v>243</v>
      </c>
      <c r="E390" t="s">
        <v>1966</v>
      </c>
      <c r="F390" t="s">
        <v>2115</v>
      </c>
      <c r="G390" t="s">
        <v>2374</v>
      </c>
      <c r="H390" t="s">
        <v>2375</v>
      </c>
      <c r="I390" t="s">
        <v>2374</v>
      </c>
      <c r="J390" t="str">
        <f>IF(COUNTIF(Table5[Country],Table310[Country])&gt;0,"Y","N")</f>
        <v>Y</v>
      </c>
      <c r="K390">
        <f>IF(Table310[[#This Row],[Adverse Media]]="Y",15,0)+IF(Table310[[#This Row],[PEP]]="Y",50,0)+IF(Table310[[#This Row],[Sanctions]]="Y",70,0)+IF(Table310[[#This Row],[High Risk Country]]="Y",25,0)</f>
        <v>75</v>
      </c>
      <c r="L390" t="str">
        <f>_xlfn.IFS(Table310[[#This Row],[Risk Score]]&gt;=85,"Critical",Table310[[#This Row],[Risk Score]]&gt;=65,"High",Table310[[#This Row],[Risk Score]]&gt;=45,"Medium",TRUE,"Low")</f>
        <v>High</v>
      </c>
    </row>
    <row r="391" spans="1:12" x14ac:dyDescent="0.3">
      <c r="A391" t="s">
        <v>777</v>
      </c>
      <c r="B391" t="s">
        <v>1127</v>
      </c>
      <c r="C391" t="s">
        <v>188</v>
      </c>
      <c r="D391" t="s">
        <v>223</v>
      </c>
      <c r="E391" t="s">
        <v>1967</v>
      </c>
      <c r="F391" t="s">
        <v>2086</v>
      </c>
      <c r="G391" t="s">
        <v>2375</v>
      </c>
      <c r="H391" t="s">
        <v>2374</v>
      </c>
      <c r="I391" t="s">
        <v>2374</v>
      </c>
      <c r="J391" t="str">
        <f>IF(COUNTIF(Table5[Country],Table310[Country])&gt;0,"Y","N")</f>
        <v>N</v>
      </c>
      <c r="K391">
        <f>IF(Table310[[#This Row],[Adverse Media]]="Y",15,0)+IF(Table310[[#This Row],[PEP]]="Y",50,0)+IF(Table310[[#This Row],[Sanctions]]="Y",70,0)+IF(Table310[[#This Row],[High Risk Country]]="Y",25,0)</f>
        <v>15</v>
      </c>
      <c r="L391" t="str">
        <f>_xlfn.IFS(Table310[[#This Row],[Risk Score]]&gt;=85,"Critical",Table310[[#This Row],[Risk Score]]&gt;=65,"High",Table310[[#This Row],[Risk Score]]&gt;=45,"Medium",TRUE,"Low")</f>
        <v>Low</v>
      </c>
    </row>
    <row r="392" spans="1:12" x14ac:dyDescent="0.3">
      <c r="A392" t="s">
        <v>778</v>
      </c>
      <c r="B392" t="s">
        <v>1128</v>
      </c>
      <c r="C392" t="s">
        <v>188</v>
      </c>
      <c r="D392" t="s">
        <v>235</v>
      </c>
      <c r="E392" t="s">
        <v>1968</v>
      </c>
      <c r="F392" t="s">
        <v>279</v>
      </c>
      <c r="G392" t="s">
        <v>2375</v>
      </c>
      <c r="H392" t="s">
        <v>2374</v>
      </c>
      <c r="I392" t="s">
        <v>2374</v>
      </c>
      <c r="J392" t="str">
        <f>IF(COUNTIF(Table5[Country],Table310[Country])&gt;0,"Y","N")</f>
        <v>N</v>
      </c>
      <c r="K392">
        <f>IF(Table310[[#This Row],[Adverse Media]]="Y",15,0)+IF(Table310[[#This Row],[PEP]]="Y",50,0)+IF(Table310[[#This Row],[Sanctions]]="Y",70,0)+IF(Table310[[#This Row],[High Risk Country]]="Y",25,0)</f>
        <v>15</v>
      </c>
      <c r="L392" t="str">
        <f>_xlfn.IFS(Table310[[#This Row],[Risk Score]]&gt;=85,"Critical",Table310[[#This Row],[Risk Score]]&gt;=65,"High",Table310[[#This Row],[Risk Score]]&gt;=45,"Medium",TRUE,"Low")</f>
        <v>Low</v>
      </c>
    </row>
    <row r="393" spans="1:12" x14ac:dyDescent="0.3">
      <c r="A393" t="s">
        <v>779</v>
      </c>
      <c r="B393" t="s">
        <v>1129</v>
      </c>
      <c r="C393" t="s">
        <v>188</v>
      </c>
      <c r="D393" t="s">
        <v>240</v>
      </c>
      <c r="E393" t="s">
        <v>1969</v>
      </c>
      <c r="F393" t="s">
        <v>2216</v>
      </c>
      <c r="G393" t="s">
        <v>2375</v>
      </c>
      <c r="H393" t="s">
        <v>2374</v>
      </c>
      <c r="I393" t="s">
        <v>2375</v>
      </c>
      <c r="J393" t="str">
        <f>IF(COUNTIF(Table5[Country],Table310[Country])&gt;0,"Y","N")</f>
        <v>N</v>
      </c>
      <c r="K393">
        <f>IF(Table310[[#This Row],[Adverse Media]]="Y",15,0)+IF(Table310[[#This Row],[PEP]]="Y",50,0)+IF(Table310[[#This Row],[Sanctions]]="Y",70,0)+IF(Table310[[#This Row],[High Risk Country]]="Y",25,0)</f>
        <v>85</v>
      </c>
      <c r="L393" t="str">
        <f>_xlfn.IFS(Table310[[#This Row],[Risk Score]]&gt;=85,"Critical",Table310[[#This Row],[Risk Score]]&gt;=65,"High",Table310[[#This Row],[Risk Score]]&gt;=45,"Medium",TRUE,"Low")</f>
        <v>Critical</v>
      </c>
    </row>
    <row r="394" spans="1:12" x14ac:dyDescent="0.3">
      <c r="A394" t="s">
        <v>780</v>
      </c>
      <c r="B394" t="s">
        <v>1130</v>
      </c>
      <c r="C394" t="s">
        <v>188</v>
      </c>
      <c r="D394" t="s">
        <v>217</v>
      </c>
      <c r="E394" t="s">
        <v>1970</v>
      </c>
      <c r="F394" t="s">
        <v>2217</v>
      </c>
      <c r="G394" t="s">
        <v>2374</v>
      </c>
      <c r="H394" t="s">
        <v>2374</v>
      </c>
      <c r="I394" t="s">
        <v>2375</v>
      </c>
      <c r="J394" t="str">
        <f>IF(COUNTIF(Table5[Country],Table310[Country])&gt;0,"Y","N")</f>
        <v>Y</v>
      </c>
      <c r="K394">
        <f>IF(Table310[[#This Row],[Adverse Media]]="Y",15,0)+IF(Table310[[#This Row],[PEP]]="Y",50,0)+IF(Table310[[#This Row],[Sanctions]]="Y",70,0)+IF(Table310[[#This Row],[High Risk Country]]="Y",25,0)</f>
        <v>95</v>
      </c>
      <c r="L394" t="str">
        <f>_xlfn.IFS(Table310[[#This Row],[Risk Score]]&gt;=85,"Critical",Table310[[#This Row],[Risk Score]]&gt;=65,"High",Table310[[#This Row],[Risk Score]]&gt;=45,"Medium",TRUE,"Low")</f>
        <v>Critical</v>
      </c>
    </row>
    <row r="395" spans="1:12" x14ac:dyDescent="0.3">
      <c r="A395" t="s">
        <v>781</v>
      </c>
      <c r="B395" t="s">
        <v>1131</v>
      </c>
      <c r="C395" t="s">
        <v>188</v>
      </c>
      <c r="D395" t="s">
        <v>218</v>
      </c>
      <c r="E395" t="s">
        <v>311</v>
      </c>
      <c r="F395" t="s">
        <v>463</v>
      </c>
      <c r="G395" t="s">
        <v>2374</v>
      </c>
      <c r="H395" t="s">
        <v>2374</v>
      </c>
      <c r="I395" t="s">
        <v>2375</v>
      </c>
      <c r="J395" t="str">
        <f>IF(COUNTIF(Table5[Country],Table310[Country])&gt;0,"Y","N")</f>
        <v>N</v>
      </c>
      <c r="K395">
        <f>IF(Table310[[#This Row],[Adverse Media]]="Y",15,0)+IF(Table310[[#This Row],[PEP]]="Y",50,0)+IF(Table310[[#This Row],[Sanctions]]="Y",70,0)+IF(Table310[[#This Row],[High Risk Country]]="Y",25,0)</f>
        <v>70</v>
      </c>
      <c r="L395" t="str">
        <f>_xlfn.IFS(Table310[[#This Row],[Risk Score]]&gt;=85,"Critical",Table310[[#This Row],[Risk Score]]&gt;=65,"High",Table310[[#This Row],[Risk Score]]&gt;=45,"Medium",TRUE,"Low")</f>
        <v>High</v>
      </c>
    </row>
    <row r="396" spans="1:12" x14ac:dyDescent="0.3">
      <c r="A396" t="s">
        <v>782</v>
      </c>
      <c r="B396" t="s">
        <v>1132</v>
      </c>
      <c r="C396" t="s">
        <v>188</v>
      </c>
      <c r="D396" t="s">
        <v>222</v>
      </c>
      <c r="E396" t="s">
        <v>1971</v>
      </c>
      <c r="F396" t="s">
        <v>2218</v>
      </c>
      <c r="G396" t="s">
        <v>2374</v>
      </c>
      <c r="H396" t="s">
        <v>2374</v>
      </c>
      <c r="I396" t="s">
        <v>2375</v>
      </c>
      <c r="J396" t="str">
        <f>IF(COUNTIF(Table5[Country],Table310[Country])&gt;0,"Y","N")</f>
        <v>N</v>
      </c>
      <c r="K396">
        <f>IF(Table310[[#This Row],[Adverse Media]]="Y",15,0)+IF(Table310[[#This Row],[PEP]]="Y",50,0)+IF(Table310[[#This Row],[Sanctions]]="Y",70,0)+IF(Table310[[#This Row],[High Risk Country]]="Y",25,0)</f>
        <v>70</v>
      </c>
      <c r="L396" t="str">
        <f>_xlfn.IFS(Table310[[#This Row],[Risk Score]]&gt;=85,"Critical",Table310[[#This Row],[Risk Score]]&gt;=65,"High",Table310[[#This Row],[Risk Score]]&gt;=45,"Medium",TRUE,"Low")</f>
        <v>High</v>
      </c>
    </row>
    <row r="397" spans="1:12" x14ac:dyDescent="0.3">
      <c r="A397" t="s">
        <v>783</v>
      </c>
      <c r="B397" t="s">
        <v>1133</v>
      </c>
      <c r="C397" t="s">
        <v>188</v>
      </c>
      <c r="D397" t="s">
        <v>242</v>
      </c>
      <c r="E397" t="s">
        <v>1972</v>
      </c>
      <c r="F397" t="s">
        <v>678</v>
      </c>
      <c r="G397" t="s">
        <v>2374</v>
      </c>
      <c r="H397" t="s">
        <v>2374</v>
      </c>
      <c r="I397" t="s">
        <v>2374</v>
      </c>
      <c r="J397" t="str">
        <f>IF(COUNTIF(Table5[Country],Table310[Country])&gt;0,"Y","N")</f>
        <v>N</v>
      </c>
      <c r="K397">
        <f>IF(Table310[[#This Row],[Adverse Media]]="Y",15,0)+IF(Table310[[#This Row],[PEP]]="Y",50,0)+IF(Table310[[#This Row],[Sanctions]]="Y",70,0)+IF(Table310[[#This Row],[High Risk Country]]="Y",25,0)</f>
        <v>0</v>
      </c>
      <c r="L397" t="str">
        <f>_xlfn.IFS(Table310[[#This Row],[Risk Score]]&gt;=85,"Critical",Table310[[#This Row],[Risk Score]]&gt;=65,"High",Table310[[#This Row],[Risk Score]]&gt;=45,"Medium",TRUE,"Low")</f>
        <v>Low</v>
      </c>
    </row>
    <row r="398" spans="1:12" x14ac:dyDescent="0.3">
      <c r="A398" t="s">
        <v>784</v>
      </c>
      <c r="B398" t="s">
        <v>1134</v>
      </c>
      <c r="C398" t="s">
        <v>188</v>
      </c>
      <c r="D398" t="s">
        <v>222</v>
      </c>
      <c r="E398" t="s">
        <v>1973</v>
      </c>
      <c r="F398" t="s">
        <v>2219</v>
      </c>
      <c r="G398" t="s">
        <v>2374</v>
      </c>
      <c r="H398" t="s">
        <v>2374</v>
      </c>
      <c r="I398" t="s">
        <v>2374</v>
      </c>
      <c r="J398" t="str">
        <f>IF(COUNTIF(Table5[Country],Table310[Country])&gt;0,"Y","N")</f>
        <v>N</v>
      </c>
      <c r="K398">
        <f>IF(Table310[[#This Row],[Adverse Media]]="Y",15,0)+IF(Table310[[#This Row],[PEP]]="Y",50,0)+IF(Table310[[#This Row],[Sanctions]]="Y",70,0)+IF(Table310[[#This Row],[High Risk Country]]="Y",25,0)</f>
        <v>0</v>
      </c>
      <c r="L398" t="str">
        <f>_xlfn.IFS(Table310[[#This Row],[Risk Score]]&gt;=85,"Critical",Table310[[#This Row],[Risk Score]]&gt;=65,"High",Table310[[#This Row],[Risk Score]]&gt;=45,"Medium",TRUE,"Low")</f>
        <v>Low</v>
      </c>
    </row>
    <row r="399" spans="1:12" x14ac:dyDescent="0.3">
      <c r="A399" t="s">
        <v>785</v>
      </c>
      <c r="B399" t="s">
        <v>1135</v>
      </c>
      <c r="C399" t="s">
        <v>188</v>
      </c>
      <c r="D399" t="s">
        <v>194</v>
      </c>
      <c r="E399" t="s">
        <v>1974</v>
      </c>
      <c r="F399" t="s">
        <v>2158</v>
      </c>
      <c r="G399" t="s">
        <v>2374</v>
      </c>
      <c r="H399" t="s">
        <v>2374</v>
      </c>
      <c r="I399" t="s">
        <v>2374</v>
      </c>
      <c r="J399" t="str">
        <f>IF(COUNTIF(Table5[Country],Table310[Country])&gt;0,"Y","N")</f>
        <v>Y</v>
      </c>
      <c r="K399">
        <f>IF(Table310[[#This Row],[Adverse Media]]="Y",15,0)+IF(Table310[[#This Row],[PEP]]="Y",50,0)+IF(Table310[[#This Row],[Sanctions]]="Y",70,0)+IF(Table310[[#This Row],[High Risk Country]]="Y",25,0)</f>
        <v>25</v>
      </c>
      <c r="L399" t="str">
        <f>_xlfn.IFS(Table310[[#This Row],[Risk Score]]&gt;=85,"Critical",Table310[[#This Row],[Risk Score]]&gt;=65,"High",Table310[[#This Row],[Risk Score]]&gt;=45,"Medium",TRUE,"Low")</f>
        <v>Low</v>
      </c>
    </row>
    <row r="400" spans="1:12" x14ac:dyDescent="0.3">
      <c r="A400" t="s">
        <v>786</v>
      </c>
      <c r="B400" t="s">
        <v>1136</v>
      </c>
      <c r="C400" t="s">
        <v>188</v>
      </c>
      <c r="D400" t="s">
        <v>234</v>
      </c>
      <c r="E400" t="s">
        <v>1975</v>
      </c>
      <c r="F400" t="s">
        <v>674</v>
      </c>
      <c r="G400" t="s">
        <v>2374</v>
      </c>
      <c r="H400" t="s">
        <v>2374</v>
      </c>
      <c r="I400" t="s">
        <v>2374</v>
      </c>
      <c r="J400" t="str">
        <f>IF(COUNTIF(Table5[Country],Table310[Country])&gt;0,"Y","N")</f>
        <v>Y</v>
      </c>
      <c r="K400">
        <f>IF(Table310[[#This Row],[Adverse Media]]="Y",15,0)+IF(Table310[[#This Row],[PEP]]="Y",50,0)+IF(Table310[[#This Row],[Sanctions]]="Y",70,0)+IF(Table310[[#This Row],[High Risk Country]]="Y",25,0)</f>
        <v>25</v>
      </c>
      <c r="L400" t="str">
        <f>_xlfn.IFS(Table310[[#This Row],[Risk Score]]&gt;=85,"Critical",Table310[[#This Row],[Risk Score]]&gt;=65,"High",Table310[[#This Row],[Risk Score]]&gt;=45,"Medium",TRUE,"Low")</f>
        <v>Low</v>
      </c>
    </row>
    <row r="401" spans="1:12" x14ac:dyDescent="0.3">
      <c r="A401" t="s">
        <v>787</v>
      </c>
      <c r="B401" t="s">
        <v>1137</v>
      </c>
      <c r="C401" t="s">
        <v>188</v>
      </c>
      <c r="D401" t="s">
        <v>222</v>
      </c>
      <c r="E401" t="s">
        <v>1976</v>
      </c>
      <c r="F401" t="s">
        <v>2220</v>
      </c>
      <c r="G401" t="s">
        <v>2374</v>
      </c>
      <c r="H401" t="s">
        <v>2374</v>
      </c>
      <c r="I401" t="s">
        <v>2374</v>
      </c>
      <c r="J401" t="str">
        <f>IF(COUNTIF(Table5[Country],Table310[Country])&gt;0,"Y","N")</f>
        <v>N</v>
      </c>
      <c r="K401">
        <f>IF(Table310[[#This Row],[Adverse Media]]="Y",15,0)+IF(Table310[[#This Row],[PEP]]="Y",50,0)+IF(Table310[[#This Row],[Sanctions]]="Y",70,0)+IF(Table310[[#This Row],[High Risk Country]]="Y",25,0)</f>
        <v>0</v>
      </c>
      <c r="L401" t="str">
        <f>_xlfn.IFS(Table310[[#This Row],[Risk Score]]&gt;=85,"Critical",Table310[[#This Row],[Risk Score]]&gt;=65,"High",Table310[[#This Row],[Risk Score]]&gt;=45,"Medium",TRUE,"Low")</f>
        <v>Low</v>
      </c>
    </row>
    <row r="402" spans="1:12" x14ac:dyDescent="0.3">
      <c r="A402" t="s">
        <v>788</v>
      </c>
      <c r="B402" t="s">
        <v>1138</v>
      </c>
      <c r="C402" t="s">
        <v>188</v>
      </c>
      <c r="D402" t="s">
        <v>247</v>
      </c>
      <c r="E402" t="s">
        <v>1977</v>
      </c>
      <c r="F402" t="s">
        <v>2221</v>
      </c>
      <c r="G402" t="s">
        <v>2374</v>
      </c>
      <c r="H402" t="s">
        <v>2374</v>
      </c>
      <c r="I402" t="s">
        <v>2374</v>
      </c>
      <c r="J402" t="str">
        <f>IF(COUNTIF(Table5[Country],Table310[Country])&gt;0,"Y","N")</f>
        <v>Y</v>
      </c>
      <c r="K402">
        <f>IF(Table310[[#This Row],[Adverse Media]]="Y",15,0)+IF(Table310[[#This Row],[PEP]]="Y",50,0)+IF(Table310[[#This Row],[Sanctions]]="Y",70,0)+IF(Table310[[#This Row],[High Risk Country]]="Y",25,0)</f>
        <v>25</v>
      </c>
      <c r="L402" t="str">
        <f>_xlfn.IFS(Table310[[#This Row],[Risk Score]]&gt;=85,"Critical",Table310[[#This Row],[Risk Score]]&gt;=65,"High",Table310[[#This Row],[Risk Score]]&gt;=45,"Medium",TRUE,"Low")</f>
        <v>Low</v>
      </c>
    </row>
    <row r="403" spans="1:12" x14ac:dyDescent="0.3">
      <c r="A403" t="s">
        <v>789</v>
      </c>
      <c r="B403" t="s">
        <v>1139</v>
      </c>
      <c r="C403" t="s">
        <v>188</v>
      </c>
      <c r="D403" t="s">
        <v>199</v>
      </c>
      <c r="E403" t="s">
        <v>1978</v>
      </c>
      <c r="F403" t="s">
        <v>1936</v>
      </c>
      <c r="G403" t="s">
        <v>2374</v>
      </c>
      <c r="H403" t="s">
        <v>2374</v>
      </c>
      <c r="I403" t="s">
        <v>2375</v>
      </c>
      <c r="J403" t="str">
        <f>IF(COUNTIF(Table5[Country],Table310[Country])&gt;0,"Y","N")</f>
        <v>N</v>
      </c>
      <c r="K403">
        <f>IF(Table310[[#This Row],[Adverse Media]]="Y",15,0)+IF(Table310[[#This Row],[PEP]]="Y",50,0)+IF(Table310[[#This Row],[Sanctions]]="Y",70,0)+IF(Table310[[#This Row],[High Risk Country]]="Y",25,0)</f>
        <v>70</v>
      </c>
      <c r="L403" t="str">
        <f>_xlfn.IFS(Table310[[#This Row],[Risk Score]]&gt;=85,"Critical",Table310[[#This Row],[Risk Score]]&gt;=65,"High",Table310[[#This Row],[Risk Score]]&gt;=45,"Medium",TRUE,"Low")</f>
        <v>High</v>
      </c>
    </row>
    <row r="404" spans="1:12" x14ac:dyDescent="0.3">
      <c r="A404" t="s">
        <v>790</v>
      </c>
      <c r="B404" t="s">
        <v>1140</v>
      </c>
      <c r="C404" t="s">
        <v>188</v>
      </c>
      <c r="D404" t="s">
        <v>221</v>
      </c>
      <c r="E404" t="s">
        <v>1979</v>
      </c>
      <c r="F404" t="s">
        <v>2222</v>
      </c>
      <c r="G404" t="s">
        <v>2374</v>
      </c>
      <c r="H404" t="s">
        <v>2374</v>
      </c>
      <c r="I404" t="s">
        <v>2374</v>
      </c>
      <c r="J404" t="str">
        <f>IF(COUNTIF(Table5[Country],Table310[Country])&gt;0,"Y","N")</f>
        <v>N</v>
      </c>
      <c r="K404">
        <f>IF(Table310[[#This Row],[Adverse Media]]="Y",15,0)+IF(Table310[[#This Row],[PEP]]="Y",50,0)+IF(Table310[[#This Row],[Sanctions]]="Y",70,0)+IF(Table310[[#This Row],[High Risk Country]]="Y",25,0)</f>
        <v>0</v>
      </c>
      <c r="L404" t="str">
        <f>_xlfn.IFS(Table310[[#This Row],[Risk Score]]&gt;=85,"Critical",Table310[[#This Row],[Risk Score]]&gt;=65,"High",Table310[[#This Row],[Risk Score]]&gt;=45,"Medium",TRUE,"Low")</f>
        <v>Low</v>
      </c>
    </row>
    <row r="405" spans="1:12" x14ac:dyDescent="0.3">
      <c r="A405" t="s">
        <v>791</v>
      </c>
      <c r="B405" t="s">
        <v>1141</v>
      </c>
      <c r="C405" t="s">
        <v>188</v>
      </c>
      <c r="D405" t="s">
        <v>231</v>
      </c>
      <c r="E405" t="s">
        <v>613</v>
      </c>
      <c r="F405" t="s">
        <v>2223</v>
      </c>
      <c r="G405" t="s">
        <v>2374</v>
      </c>
      <c r="H405" t="s">
        <v>2374</v>
      </c>
      <c r="I405" t="s">
        <v>2374</v>
      </c>
      <c r="J405" t="str">
        <f>IF(COUNTIF(Table5[Country],Table310[Country])&gt;0,"Y","N")</f>
        <v>N</v>
      </c>
      <c r="K405">
        <f>IF(Table310[[#This Row],[Adverse Media]]="Y",15,0)+IF(Table310[[#This Row],[PEP]]="Y",50,0)+IF(Table310[[#This Row],[Sanctions]]="Y",70,0)+IF(Table310[[#This Row],[High Risk Country]]="Y",25,0)</f>
        <v>0</v>
      </c>
      <c r="L405" t="str">
        <f>_xlfn.IFS(Table310[[#This Row],[Risk Score]]&gt;=85,"Critical",Table310[[#This Row],[Risk Score]]&gt;=65,"High",Table310[[#This Row],[Risk Score]]&gt;=45,"Medium",TRUE,"Low")</f>
        <v>Low</v>
      </c>
    </row>
    <row r="406" spans="1:12" x14ac:dyDescent="0.3">
      <c r="A406" t="s">
        <v>792</v>
      </c>
      <c r="B406" t="s">
        <v>1142</v>
      </c>
      <c r="C406" t="s">
        <v>188</v>
      </c>
      <c r="D406" t="s">
        <v>203</v>
      </c>
      <c r="E406" t="s">
        <v>546</v>
      </c>
      <c r="F406" t="s">
        <v>2224</v>
      </c>
      <c r="G406" t="s">
        <v>2374</v>
      </c>
      <c r="H406" t="s">
        <v>2374</v>
      </c>
      <c r="I406" t="s">
        <v>2375</v>
      </c>
      <c r="J406" t="str">
        <f>IF(COUNTIF(Table5[Country],Table310[Country])&gt;0,"Y","N")</f>
        <v>Y</v>
      </c>
      <c r="K406">
        <f>IF(Table310[[#This Row],[Adverse Media]]="Y",15,0)+IF(Table310[[#This Row],[PEP]]="Y",50,0)+IF(Table310[[#This Row],[Sanctions]]="Y",70,0)+IF(Table310[[#This Row],[High Risk Country]]="Y",25,0)</f>
        <v>95</v>
      </c>
      <c r="L406" t="str">
        <f>_xlfn.IFS(Table310[[#This Row],[Risk Score]]&gt;=85,"Critical",Table310[[#This Row],[Risk Score]]&gt;=65,"High",Table310[[#This Row],[Risk Score]]&gt;=45,"Medium",TRUE,"Low")</f>
        <v>Critical</v>
      </c>
    </row>
    <row r="407" spans="1:12" x14ac:dyDescent="0.3">
      <c r="A407" t="s">
        <v>793</v>
      </c>
      <c r="B407" t="s">
        <v>1143</v>
      </c>
      <c r="C407" t="s">
        <v>188</v>
      </c>
      <c r="D407" t="s">
        <v>207</v>
      </c>
      <c r="E407" t="s">
        <v>1980</v>
      </c>
      <c r="F407" t="s">
        <v>2225</v>
      </c>
      <c r="G407" t="s">
        <v>2374</v>
      </c>
      <c r="H407" t="s">
        <v>2374</v>
      </c>
      <c r="I407" t="s">
        <v>2374</v>
      </c>
      <c r="J407" t="str">
        <f>IF(COUNTIF(Table5[Country],Table310[Country])&gt;0,"Y","N")</f>
        <v>Y</v>
      </c>
      <c r="K407">
        <f>IF(Table310[[#This Row],[Adverse Media]]="Y",15,0)+IF(Table310[[#This Row],[PEP]]="Y",50,0)+IF(Table310[[#This Row],[Sanctions]]="Y",70,0)+IF(Table310[[#This Row],[High Risk Country]]="Y",25,0)</f>
        <v>25</v>
      </c>
      <c r="L407" t="str">
        <f>_xlfn.IFS(Table310[[#This Row],[Risk Score]]&gt;=85,"Critical",Table310[[#This Row],[Risk Score]]&gt;=65,"High",Table310[[#This Row],[Risk Score]]&gt;=45,"Medium",TRUE,"Low")</f>
        <v>Low</v>
      </c>
    </row>
    <row r="408" spans="1:12" x14ac:dyDescent="0.3">
      <c r="A408" t="s">
        <v>794</v>
      </c>
      <c r="B408" t="s">
        <v>1144</v>
      </c>
      <c r="C408" t="s">
        <v>188</v>
      </c>
      <c r="D408" t="s">
        <v>199</v>
      </c>
      <c r="E408" t="s">
        <v>1981</v>
      </c>
      <c r="F408" t="s">
        <v>2226</v>
      </c>
      <c r="G408" t="s">
        <v>2374</v>
      </c>
      <c r="H408" t="s">
        <v>2374</v>
      </c>
      <c r="I408" t="s">
        <v>2374</v>
      </c>
      <c r="J408" t="str">
        <f>IF(COUNTIF(Table5[Country],Table310[Country])&gt;0,"Y","N")</f>
        <v>N</v>
      </c>
      <c r="K408">
        <f>IF(Table310[[#This Row],[Adverse Media]]="Y",15,0)+IF(Table310[[#This Row],[PEP]]="Y",50,0)+IF(Table310[[#This Row],[Sanctions]]="Y",70,0)+IF(Table310[[#This Row],[High Risk Country]]="Y",25,0)</f>
        <v>0</v>
      </c>
      <c r="L408" t="str">
        <f>_xlfn.IFS(Table310[[#This Row],[Risk Score]]&gt;=85,"Critical",Table310[[#This Row],[Risk Score]]&gt;=65,"High",Table310[[#This Row],[Risk Score]]&gt;=45,"Medium",TRUE,"Low")</f>
        <v>Low</v>
      </c>
    </row>
    <row r="409" spans="1:12" x14ac:dyDescent="0.3">
      <c r="A409" t="s">
        <v>795</v>
      </c>
      <c r="B409" t="s">
        <v>1145</v>
      </c>
      <c r="C409" t="s">
        <v>188</v>
      </c>
      <c r="D409" t="s">
        <v>218</v>
      </c>
      <c r="E409" t="s">
        <v>356</v>
      </c>
      <c r="F409" t="s">
        <v>2227</v>
      </c>
      <c r="G409" t="s">
        <v>2374</v>
      </c>
      <c r="H409" t="s">
        <v>2374</v>
      </c>
      <c r="I409" t="s">
        <v>2375</v>
      </c>
      <c r="J409" t="str">
        <f>IF(COUNTIF(Table5[Country],Table310[Country])&gt;0,"Y","N")</f>
        <v>N</v>
      </c>
      <c r="K409">
        <f>IF(Table310[[#This Row],[Adverse Media]]="Y",15,0)+IF(Table310[[#This Row],[PEP]]="Y",50,0)+IF(Table310[[#This Row],[Sanctions]]="Y",70,0)+IF(Table310[[#This Row],[High Risk Country]]="Y",25,0)</f>
        <v>70</v>
      </c>
      <c r="L409" t="str">
        <f>_xlfn.IFS(Table310[[#This Row],[Risk Score]]&gt;=85,"Critical",Table310[[#This Row],[Risk Score]]&gt;=65,"High",Table310[[#This Row],[Risk Score]]&gt;=45,"Medium",TRUE,"Low")</f>
        <v>High</v>
      </c>
    </row>
    <row r="410" spans="1:12" x14ac:dyDescent="0.3">
      <c r="A410" t="s">
        <v>796</v>
      </c>
      <c r="B410" t="s">
        <v>1146</v>
      </c>
      <c r="C410" t="s">
        <v>188</v>
      </c>
      <c r="D410" t="s">
        <v>249</v>
      </c>
      <c r="E410" t="s">
        <v>1982</v>
      </c>
      <c r="F410" t="s">
        <v>2228</v>
      </c>
      <c r="G410" t="s">
        <v>2374</v>
      </c>
      <c r="H410" t="s">
        <v>2374</v>
      </c>
      <c r="I410" t="s">
        <v>2374</v>
      </c>
      <c r="J410" t="str">
        <f>IF(COUNTIF(Table5[Country],Table310[Country])&gt;0,"Y","N")</f>
        <v>N</v>
      </c>
      <c r="K410">
        <f>IF(Table310[[#This Row],[Adverse Media]]="Y",15,0)+IF(Table310[[#This Row],[PEP]]="Y",50,0)+IF(Table310[[#This Row],[Sanctions]]="Y",70,0)+IF(Table310[[#This Row],[High Risk Country]]="Y",25,0)</f>
        <v>0</v>
      </c>
      <c r="L410" t="str">
        <f>_xlfn.IFS(Table310[[#This Row],[Risk Score]]&gt;=85,"Critical",Table310[[#This Row],[Risk Score]]&gt;=65,"High",Table310[[#This Row],[Risk Score]]&gt;=45,"Medium",TRUE,"Low")</f>
        <v>Low</v>
      </c>
    </row>
    <row r="411" spans="1:12" x14ac:dyDescent="0.3">
      <c r="A411" t="s">
        <v>797</v>
      </c>
      <c r="B411" t="s">
        <v>1147</v>
      </c>
      <c r="C411" t="s">
        <v>188</v>
      </c>
      <c r="D411" t="s">
        <v>246</v>
      </c>
      <c r="E411" t="s">
        <v>1983</v>
      </c>
      <c r="F411" t="s">
        <v>2229</v>
      </c>
      <c r="G411" t="s">
        <v>2374</v>
      </c>
      <c r="H411" t="s">
        <v>2374</v>
      </c>
      <c r="I411" t="s">
        <v>2374</v>
      </c>
      <c r="J411" t="str">
        <f>IF(COUNTIF(Table5[Country],Table310[Country])&gt;0,"Y","N")</f>
        <v>N</v>
      </c>
      <c r="K411">
        <f>IF(Table310[[#This Row],[Adverse Media]]="Y",15,0)+IF(Table310[[#This Row],[PEP]]="Y",50,0)+IF(Table310[[#This Row],[Sanctions]]="Y",70,0)+IF(Table310[[#This Row],[High Risk Country]]="Y",25,0)</f>
        <v>0</v>
      </c>
      <c r="L411" t="str">
        <f>_xlfn.IFS(Table310[[#This Row],[Risk Score]]&gt;=85,"Critical",Table310[[#This Row],[Risk Score]]&gt;=65,"High",Table310[[#This Row],[Risk Score]]&gt;=45,"Medium",TRUE,"Low")</f>
        <v>Low</v>
      </c>
    </row>
    <row r="412" spans="1:12" x14ac:dyDescent="0.3">
      <c r="A412" t="s">
        <v>798</v>
      </c>
      <c r="B412" t="s">
        <v>1148</v>
      </c>
      <c r="C412" t="s">
        <v>188</v>
      </c>
      <c r="D412" t="s">
        <v>201</v>
      </c>
      <c r="E412" t="s">
        <v>1984</v>
      </c>
      <c r="F412" t="s">
        <v>2230</v>
      </c>
      <c r="G412" t="s">
        <v>2374</v>
      </c>
      <c r="H412" t="s">
        <v>2374</v>
      </c>
      <c r="I412" t="s">
        <v>2374</v>
      </c>
      <c r="J412" t="str">
        <f>IF(COUNTIF(Table5[Country],Table310[Country])&gt;0,"Y","N")</f>
        <v>N</v>
      </c>
      <c r="K412">
        <f>IF(Table310[[#This Row],[Adverse Media]]="Y",15,0)+IF(Table310[[#This Row],[PEP]]="Y",50,0)+IF(Table310[[#This Row],[Sanctions]]="Y",70,0)+IF(Table310[[#This Row],[High Risk Country]]="Y",25,0)</f>
        <v>0</v>
      </c>
      <c r="L412" t="str">
        <f>_xlfn.IFS(Table310[[#This Row],[Risk Score]]&gt;=85,"Critical",Table310[[#This Row],[Risk Score]]&gt;=65,"High",Table310[[#This Row],[Risk Score]]&gt;=45,"Medium",TRUE,"Low")</f>
        <v>Low</v>
      </c>
    </row>
    <row r="413" spans="1:12" x14ac:dyDescent="0.3">
      <c r="A413" t="s">
        <v>799</v>
      </c>
      <c r="B413" t="s">
        <v>1149</v>
      </c>
      <c r="C413" t="s">
        <v>188</v>
      </c>
      <c r="D413" t="s">
        <v>213</v>
      </c>
      <c r="E413" t="s">
        <v>1985</v>
      </c>
      <c r="F413" t="s">
        <v>303</v>
      </c>
      <c r="G413" t="s">
        <v>2374</v>
      </c>
      <c r="H413" t="s">
        <v>2375</v>
      </c>
      <c r="I413" t="s">
        <v>2375</v>
      </c>
      <c r="J413" t="str">
        <f>IF(COUNTIF(Table5[Country],Table310[Country])&gt;0,"Y","N")</f>
        <v>Y</v>
      </c>
      <c r="K413">
        <f>IF(Table310[[#This Row],[Adverse Media]]="Y",15,0)+IF(Table310[[#This Row],[PEP]]="Y",50,0)+IF(Table310[[#This Row],[Sanctions]]="Y",70,0)+IF(Table310[[#This Row],[High Risk Country]]="Y",25,0)</f>
        <v>145</v>
      </c>
      <c r="L413" t="str">
        <f>_xlfn.IFS(Table310[[#This Row],[Risk Score]]&gt;=85,"Critical",Table310[[#This Row],[Risk Score]]&gt;=65,"High",Table310[[#This Row],[Risk Score]]&gt;=45,"Medium",TRUE,"Low")</f>
        <v>Critical</v>
      </c>
    </row>
    <row r="414" spans="1:12" x14ac:dyDescent="0.3">
      <c r="A414" t="s">
        <v>800</v>
      </c>
      <c r="B414" t="s">
        <v>1150</v>
      </c>
      <c r="C414" t="s">
        <v>188</v>
      </c>
      <c r="D414" t="s">
        <v>248</v>
      </c>
      <c r="E414" t="s">
        <v>1986</v>
      </c>
      <c r="F414" t="s">
        <v>2231</v>
      </c>
      <c r="G414" t="s">
        <v>2374</v>
      </c>
      <c r="H414" t="s">
        <v>2374</v>
      </c>
      <c r="I414" t="s">
        <v>2374</v>
      </c>
      <c r="J414" t="str">
        <f>IF(COUNTIF(Table5[Country],Table310[Country])&gt;0,"Y","N")</f>
        <v>N</v>
      </c>
      <c r="K414">
        <f>IF(Table310[[#This Row],[Adverse Media]]="Y",15,0)+IF(Table310[[#This Row],[PEP]]="Y",50,0)+IF(Table310[[#This Row],[Sanctions]]="Y",70,0)+IF(Table310[[#This Row],[High Risk Country]]="Y",25,0)</f>
        <v>0</v>
      </c>
      <c r="L414" t="str">
        <f>_xlfn.IFS(Table310[[#This Row],[Risk Score]]&gt;=85,"Critical",Table310[[#This Row],[Risk Score]]&gt;=65,"High",Table310[[#This Row],[Risk Score]]&gt;=45,"Medium",TRUE,"Low")</f>
        <v>Low</v>
      </c>
    </row>
    <row r="415" spans="1:12" x14ac:dyDescent="0.3">
      <c r="A415" t="s">
        <v>801</v>
      </c>
      <c r="B415" t="s">
        <v>1151</v>
      </c>
      <c r="C415" t="s">
        <v>188</v>
      </c>
      <c r="D415" t="s">
        <v>239</v>
      </c>
      <c r="E415" t="s">
        <v>1987</v>
      </c>
      <c r="F415" t="s">
        <v>2232</v>
      </c>
      <c r="G415" t="s">
        <v>2374</v>
      </c>
      <c r="H415" t="s">
        <v>2375</v>
      </c>
      <c r="I415" t="s">
        <v>2374</v>
      </c>
      <c r="J415" t="str">
        <f>IF(COUNTIF(Table5[Country],Table310[Country])&gt;0,"Y","N")</f>
        <v>N</v>
      </c>
      <c r="K415">
        <f>IF(Table310[[#This Row],[Adverse Media]]="Y",15,0)+IF(Table310[[#This Row],[PEP]]="Y",50,0)+IF(Table310[[#This Row],[Sanctions]]="Y",70,0)+IF(Table310[[#This Row],[High Risk Country]]="Y",25,0)</f>
        <v>50</v>
      </c>
      <c r="L415" t="str">
        <f>_xlfn.IFS(Table310[[#This Row],[Risk Score]]&gt;=85,"Critical",Table310[[#This Row],[Risk Score]]&gt;=65,"High",Table310[[#This Row],[Risk Score]]&gt;=45,"Medium",TRUE,"Low")</f>
        <v>Medium</v>
      </c>
    </row>
    <row r="416" spans="1:12" x14ac:dyDescent="0.3">
      <c r="A416" t="s">
        <v>802</v>
      </c>
      <c r="B416" t="s">
        <v>1152</v>
      </c>
      <c r="C416" t="s">
        <v>188</v>
      </c>
      <c r="D416" t="s">
        <v>247</v>
      </c>
      <c r="E416" t="s">
        <v>1988</v>
      </c>
      <c r="F416" t="s">
        <v>2233</v>
      </c>
      <c r="G416" t="s">
        <v>2374</v>
      </c>
      <c r="H416" t="s">
        <v>2375</v>
      </c>
      <c r="I416" t="s">
        <v>2375</v>
      </c>
      <c r="J416" t="str">
        <f>IF(COUNTIF(Table5[Country],Table310[Country])&gt;0,"Y","N")</f>
        <v>Y</v>
      </c>
      <c r="K416">
        <f>IF(Table310[[#This Row],[Adverse Media]]="Y",15,0)+IF(Table310[[#This Row],[PEP]]="Y",50,0)+IF(Table310[[#This Row],[Sanctions]]="Y",70,0)+IF(Table310[[#This Row],[High Risk Country]]="Y",25,0)</f>
        <v>145</v>
      </c>
      <c r="L416" t="str">
        <f>_xlfn.IFS(Table310[[#This Row],[Risk Score]]&gt;=85,"Critical",Table310[[#This Row],[Risk Score]]&gt;=65,"High",Table310[[#This Row],[Risk Score]]&gt;=45,"Medium",TRUE,"Low")</f>
        <v>Critical</v>
      </c>
    </row>
    <row r="417" spans="1:12" x14ac:dyDescent="0.3">
      <c r="A417" t="s">
        <v>803</v>
      </c>
      <c r="B417" t="s">
        <v>1153</v>
      </c>
      <c r="C417" t="s">
        <v>188</v>
      </c>
      <c r="D417" t="s">
        <v>233</v>
      </c>
      <c r="E417" t="s">
        <v>1989</v>
      </c>
      <c r="F417" t="s">
        <v>386</v>
      </c>
      <c r="G417" t="s">
        <v>2374</v>
      </c>
      <c r="H417" t="s">
        <v>2374</v>
      </c>
      <c r="I417" t="s">
        <v>2375</v>
      </c>
      <c r="J417" t="str">
        <f>IF(COUNTIF(Table5[Country],Table310[Country])&gt;0,"Y","N")</f>
        <v>N</v>
      </c>
      <c r="K417">
        <f>IF(Table310[[#This Row],[Adverse Media]]="Y",15,0)+IF(Table310[[#This Row],[PEP]]="Y",50,0)+IF(Table310[[#This Row],[Sanctions]]="Y",70,0)+IF(Table310[[#This Row],[High Risk Country]]="Y",25,0)</f>
        <v>70</v>
      </c>
      <c r="L417" t="str">
        <f>_xlfn.IFS(Table310[[#This Row],[Risk Score]]&gt;=85,"Critical",Table310[[#This Row],[Risk Score]]&gt;=65,"High",Table310[[#This Row],[Risk Score]]&gt;=45,"Medium",TRUE,"Low")</f>
        <v>High</v>
      </c>
    </row>
    <row r="418" spans="1:12" x14ac:dyDescent="0.3">
      <c r="A418" t="s">
        <v>804</v>
      </c>
      <c r="B418" t="s">
        <v>1154</v>
      </c>
      <c r="C418" t="s">
        <v>188</v>
      </c>
      <c r="D418" t="s">
        <v>228</v>
      </c>
      <c r="E418" t="s">
        <v>1750</v>
      </c>
      <c r="F418" t="s">
        <v>2234</v>
      </c>
      <c r="G418" t="s">
        <v>2374</v>
      </c>
      <c r="H418" t="s">
        <v>2375</v>
      </c>
      <c r="I418" t="s">
        <v>2375</v>
      </c>
      <c r="J418" t="str">
        <f>IF(COUNTIF(Table5[Country],Table310[Country])&gt;0,"Y","N")</f>
        <v>N</v>
      </c>
      <c r="K418">
        <f>IF(Table310[[#This Row],[Adverse Media]]="Y",15,0)+IF(Table310[[#This Row],[PEP]]="Y",50,0)+IF(Table310[[#This Row],[Sanctions]]="Y",70,0)+IF(Table310[[#This Row],[High Risk Country]]="Y",25,0)</f>
        <v>120</v>
      </c>
      <c r="L418" t="str">
        <f>_xlfn.IFS(Table310[[#This Row],[Risk Score]]&gt;=85,"Critical",Table310[[#This Row],[Risk Score]]&gt;=65,"High",Table310[[#This Row],[Risk Score]]&gt;=45,"Medium",TRUE,"Low")</f>
        <v>Critical</v>
      </c>
    </row>
    <row r="419" spans="1:12" x14ac:dyDescent="0.3">
      <c r="A419" t="s">
        <v>805</v>
      </c>
      <c r="B419" t="s">
        <v>187</v>
      </c>
      <c r="C419" t="s">
        <v>188</v>
      </c>
      <c r="D419" t="s">
        <v>192</v>
      </c>
      <c r="E419" t="s">
        <v>1990</v>
      </c>
      <c r="F419" t="s">
        <v>630</v>
      </c>
      <c r="G419" t="s">
        <v>2374</v>
      </c>
      <c r="H419" t="s">
        <v>2374</v>
      </c>
      <c r="I419" t="s">
        <v>2374</v>
      </c>
      <c r="J419" t="str">
        <f>IF(COUNTIF(Table5[Country],Table310[Country])&gt;0,"Y","N")</f>
        <v>N</v>
      </c>
      <c r="K419">
        <f>IF(Table310[[#This Row],[Adverse Media]]="Y",15,0)+IF(Table310[[#This Row],[PEP]]="Y",50,0)+IF(Table310[[#This Row],[Sanctions]]="Y",70,0)+IF(Table310[[#This Row],[High Risk Country]]="Y",25,0)</f>
        <v>0</v>
      </c>
      <c r="L419" t="str">
        <f>_xlfn.IFS(Table310[[#This Row],[Risk Score]]&gt;=85,"Critical",Table310[[#This Row],[Risk Score]]&gt;=65,"High",Table310[[#This Row],[Risk Score]]&gt;=45,"Medium",TRUE,"Low")</f>
        <v>Low</v>
      </c>
    </row>
    <row r="420" spans="1:12" x14ac:dyDescent="0.3">
      <c r="A420" t="s">
        <v>806</v>
      </c>
      <c r="B420" t="s">
        <v>1155</v>
      </c>
      <c r="C420" t="s">
        <v>188</v>
      </c>
      <c r="D420" t="s">
        <v>235</v>
      </c>
      <c r="E420" t="s">
        <v>1991</v>
      </c>
      <c r="F420" t="s">
        <v>544</v>
      </c>
      <c r="G420" t="s">
        <v>2374</v>
      </c>
      <c r="H420" t="s">
        <v>2374</v>
      </c>
      <c r="I420" t="s">
        <v>2374</v>
      </c>
      <c r="J420" t="str">
        <f>IF(COUNTIF(Table5[Country],Table310[Country])&gt;0,"Y","N")</f>
        <v>N</v>
      </c>
      <c r="K420">
        <f>IF(Table310[[#This Row],[Adverse Media]]="Y",15,0)+IF(Table310[[#This Row],[PEP]]="Y",50,0)+IF(Table310[[#This Row],[Sanctions]]="Y",70,0)+IF(Table310[[#This Row],[High Risk Country]]="Y",25,0)</f>
        <v>0</v>
      </c>
      <c r="L420" t="str">
        <f>_xlfn.IFS(Table310[[#This Row],[Risk Score]]&gt;=85,"Critical",Table310[[#This Row],[Risk Score]]&gt;=65,"High",Table310[[#This Row],[Risk Score]]&gt;=45,"Medium",TRUE,"Low")</f>
        <v>Low</v>
      </c>
    </row>
    <row r="421" spans="1:12" x14ac:dyDescent="0.3">
      <c r="A421" t="s">
        <v>807</v>
      </c>
      <c r="B421" t="s">
        <v>1156</v>
      </c>
      <c r="C421" t="s">
        <v>188</v>
      </c>
      <c r="D421" t="s">
        <v>238</v>
      </c>
      <c r="E421" t="s">
        <v>1992</v>
      </c>
      <c r="F421" t="s">
        <v>610</v>
      </c>
      <c r="G421" t="s">
        <v>2374</v>
      </c>
      <c r="H421" t="s">
        <v>2374</v>
      </c>
      <c r="I421" t="s">
        <v>2375</v>
      </c>
      <c r="J421" t="str">
        <f>IF(COUNTIF(Table5[Country],Table310[Country])&gt;0,"Y","N")</f>
        <v>N</v>
      </c>
      <c r="K421">
        <f>IF(Table310[[#This Row],[Adverse Media]]="Y",15,0)+IF(Table310[[#This Row],[PEP]]="Y",50,0)+IF(Table310[[#This Row],[Sanctions]]="Y",70,0)+IF(Table310[[#This Row],[High Risk Country]]="Y",25,0)</f>
        <v>70</v>
      </c>
      <c r="L421" t="str">
        <f>_xlfn.IFS(Table310[[#This Row],[Risk Score]]&gt;=85,"Critical",Table310[[#This Row],[Risk Score]]&gt;=65,"High",Table310[[#This Row],[Risk Score]]&gt;=45,"Medium",TRUE,"Low")</f>
        <v>High</v>
      </c>
    </row>
    <row r="422" spans="1:12" x14ac:dyDescent="0.3">
      <c r="A422" t="s">
        <v>808</v>
      </c>
      <c r="B422" t="s">
        <v>1157</v>
      </c>
      <c r="C422" t="s">
        <v>188</v>
      </c>
      <c r="D422" t="s">
        <v>227</v>
      </c>
      <c r="E422" t="s">
        <v>1993</v>
      </c>
      <c r="F422" t="s">
        <v>2066</v>
      </c>
      <c r="G422" t="s">
        <v>2374</v>
      </c>
      <c r="H422" t="s">
        <v>2374</v>
      </c>
      <c r="I422" t="s">
        <v>2374</v>
      </c>
      <c r="J422" t="str">
        <f>IF(COUNTIF(Table5[Country],Table310[Country])&gt;0,"Y","N")</f>
        <v>N</v>
      </c>
      <c r="K422">
        <f>IF(Table310[[#This Row],[Adverse Media]]="Y",15,0)+IF(Table310[[#This Row],[PEP]]="Y",50,0)+IF(Table310[[#This Row],[Sanctions]]="Y",70,0)+IF(Table310[[#This Row],[High Risk Country]]="Y",25,0)</f>
        <v>0</v>
      </c>
      <c r="L422" t="str">
        <f>_xlfn.IFS(Table310[[#This Row],[Risk Score]]&gt;=85,"Critical",Table310[[#This Row],[Risk Score]]&gt;=65,"High",Table310[[#This Row],[Risk Score]]&gt;=45,"Medium",TRUE,"Low")</f>
        <v>Low</v>
      </c>
    </row>
    <row r="423" spans="1:12" x14ac:dyDescent="0.3">
      <c r="A423" t="s">
        <v>809</v>
      </c>
      <c r="B423" t="s">
        <v>1158</v>
      </c>
      <c r="C423" t="s">
        <v>188</v>
      </c>
      <c r="D423" t="s">
        <v>241</v>
      </c>
      <c r="E423" t="s">
        <v>1994</v>
      </c>
      <c r="F423" t="s">
        <v>2235</v>
      </c>
      <c r="G423" t="s">
        <v>2374</v>
      </c>
      <c r="H423" t="s">
        <v>2375</v>
      </c>
      <c r="I423" t="s">
        <v>2375</v>
      </c>
      <c r="J423" t="str">
        <f>IF(COUNTIF(Table5[Country],Table310[Country])&gt;0,"Y","N")</f>
        <v>N</v>
      </c>
      <c r="K423">
        <f>IF(Table310[[#This Row],[Adverse Media]]="Y",15,0)+IF(Table310[[#This Row],[PEP]]="Y",50,0)+IF(Table310[[#This Row],[Sanctions]]="Y",70,0)+IF(Table310[[#This Row],[High Risk Country]]="Y",25,0)</f>
        <v>120</v>
      </c>
      <c r="L423" t="str">
        <f>_xlfn.IFS(Table310[[#This Row],[Risk Score]]&gt;=85,"Critical",Table310[[#This Row],[Risk Score]]&gt;=65,"High",Table310[[#This Row],[Risk Score]]&gt;=45,"Medium",TRUE,"Low")</f>
        <v>Critical</v>
      </c>
    </row>
    <row r="424" spans="1:12" x14ac:dyDescent="0.3">
      <c r="A424" t="s">
        <v>810</v>
      </c>
      <c r="B424" t="s">
        <v>1159</v>
      </c>
      <c r="C424" t="s">
        <v>188</v>
      </c>
      <c r="D424" t="s">
        <v>247</v>
      </c>
      <c r="E424" t="s">
        <v>500</v>
      </c>
      <c r="F424" t="s">
        <v>2236</v>
      </c>
      <c r="G424" t="s">
        <v>2374</v>
      </c>
      <c r="H424" t="s">
        <v>2374</v>
      </c>
      <c r="I424" t="s">
        <v>2375</v>
      </c>
      <c r="J424" t="str">
        <f>IF(COUNTIF(Table5[Country],Table310[Country])&gt;0,"Y","N")</f>
        <v>Y</v>
      </c>
      <c r="K424">
        <f>IF(Table310[[#This Row],[Adverse Media]]="Y",15,0)+IF(Table310[[#This Row],[PEP]]="Y",50,0)+IF(Table310[[#This Row],[Sanctions]]="Y",70,0)+IF(Table310[[#This Row],[High Risk Country]]="Y",25,0)</f>
        <v>95</v>
      </c>
      <c r="L424" t="str">
        <f>_xlfn.IFS(Table310[[#This Row],[Risk Score]]&gt;=85,"Critical",Table310[[#This Row],[Risk Score]]&gt;=65,"High",Table310[[#This Row],[Risk Score]]&gt;=45,"Medium",TRUE,"Low")</f>
        <v>Critical</v>
      </c>
    </row>
    <row r="425" spans="1:12" x14ac:dyDescent="0.3">
      <c r="A425" t="s">
        <v>811</v>
      </c>
      <c r="B425" t="s">
        <v>1160</v>
      </c>
      <c r="C425" t="s">
        <v>188</v>
      </c>
      <c r="D425" t="s">
        <v>235</v>
      </c>
      <c r="E425" t="s">
        <v>302</v>
      </c>
      <c r="F425" t="s">
        <v>2237</v>
      </c>
      <c r="G425" t="s">
        <v>2374</v>
      </c>
      <c r="H425" t="s">
        <v>2374</v>
      </c>
      <c r="I425" t="s">
        <v>2375</v>
      </c>
      <c r="J425" t="str">
        <f>IF(COUNTIF(Table5[Country],Table310[Country])&gt;0,"Y","N")</f>
        <v>N</v>
      </c>
      <c r="K425">
        <f>IF(Table310[[#This Row],[Adverse Media]]="Y",15,0)+IF(Table310[[#This Row],[PEP]]="Y",50,0)+IF(Table310[[#This Row],[Sanctions]]="Y",70,0)+IF(Table310[[#This Row],[High Risk Country]]="Y",25,0)</f>
        <v>70</v>
      </c>
      <c r="L425" t="str">
        <f>_xlfn.IFS(Table310[[#This Row],[Risk Score]]&gt;=85,"Critical",Table310[[#This Row],[Risk Score]]&gt;=65,"High",Table310[[#This Row],[Risk Score]]&gt;=45,"Medium",TRUE,"Low")</f>
        <v>High</v>
      </c>
    </row>
    <row r="426" spans="1:12" x14ac:dyDescent="0.3">
      <c r="A426" t="s">
        <v>812</v>
      </c>
      <c r="B426" t="s">
        <v>1161</v>
      </c>
      <c r="C426" t="s">
        <v>188</v>
      </c>
      <c r="D426" t="s">
        <v>242</v>
      </c>
      <c r="E426" t="s">
        <v>1929</v>
      </c>
      <c r="F426" t="s">
        <v>1893</v>
      </c>
      <c r="G426" t="s">
        <v>2374</v>
      </c>
      <c r="H426" t="s">
        <v>2375</v>
      </c>
      <c r="I426" t="s">
        <v>2375</v>
      </c>
      <c r="J426" t="str">
        <f>IF(COUNTIF(Table5[Country],Table310[Country])&gt;0,"Y","N")</f>
        <v>N</v>
      </c>
      <c r="K426">
        <f>IF(Table310[[#This Row],[Adverse Media]]="Y",15,0)+IF(Table310[[#This Row],[PEP]]="Y",50,0)+IF(Table310[[#This Row],[Sanctions]]="Y",70,0)+IF(Table310[[#This Row],[High Risk Country]]="Y",25,0)</f>
        <v>120</v>
      </c>
      <c r="L426" t="str">
        <f>_xlfn.IFS(Table310[[#This Row],[Risk Score]]&gt;=85,"Critical",Table310[[#This Row],[Risk Score]]&gt;=65,"High",Table310[[#This Row],[Risk Score]]&gt;=45,"Medium",TRUE,"Low")</f>
        <v>Critical</v>
      </c>
    </row>
    <row r="427" spans="1:12" x14ac:dyDescent="0.3">
      <c r="A427" t="s">
        <v>813</v>
      </c>
      <c r="B427" t="s">
        <v>1162</v>
      </c>
      <c r="C427" t="s">
        <v>188</v>
      </c>
      <c r="D427" t="s">
        <v>196</v>
      </c>
      <c r="E427" t="s">
        <v>1995</v>
      </c>
      <c r="F427" t="s">
        <v>2238</v>
      </c>
      <c r="G427" t="s">
        <v>2375</v>
      </c>
      <c r="H427" t="s">
        <v>2374</v>
      </c>
      <c r="I427" t="s">
        <v>2374</v>
      </c>
      <c r="J427" t="str">
        <f>IF(COUNTIF(Table5[Country],Table310[Country])&gt;0,"Y","N")</f>
        <v>Y</v>
      </c>
      <c r="K427">
        <f>IF(Table310[[#This Row],[Adverse Media]]="Y",15,0)+IF(Table310[[#This Row],[PEP]]="Y",50,0)+IF(Table310[[#This Row],[Sanctions]]="Y",70,0)+IF(Table310[[#This Row],[High Risk Country]]="Y",25,0)</f>
        <v>40</v>
      </c>
      <c r="L427" t="str">
        <f>_xlfn.IFS(Table310[[#This Row],[Risk Score]]&gt;=85,"Critical",Table310[[#This Row],[Risk Score]]&gt;=65,"High",Table310[[#This Row],[Risk Score]]&gt;=45,"Medium",TRUE,"Low")</f>
        <v>Low</v>
      </c>
    </row>
    <row r="428" spans="1:12" x14ac:dyDescent="0.3">
      <c r="A428" t="s">
        <v>814</v>
      </c>
      <c r="B428" t="s">
        <v>1163</v>
      </c>
      <c r="C428" t="s">
        <v>188</v>
      </c>
      <c r="D428" t="s">
        <v>244</v>
      </c>
      <c r="E428" t="s">
        <v>1996</v>
      </c>
      <c r="F428" t="s">
        <v>2239</v>
      </c>
      <c r="G428" t="s">
        <v>2374</v>
      </c>
      <c r="H428" t="s">
        <v>2375</v>
      </c>
      <c r="I428" t="s">
        <v>2374</v>
      </c>
      <c r="J428" t="str">
        <f>IF(COUNTIF(Table5[Country],Table310[Country])&gt;0,"Y","N")</f>
        <v>Y</v>
      </c>
      <c r="K428">
        <f>IF(Table310[[#This Row],[Adverse Media]]="Y",15,0)+IF(Table310[[#This Row],[PEP]]="Y",50,0)+IF(Table310[[#This Row],[Sanctions]]="Y",70,0)+IF(Table310[[#This Row],[High Risk Country]]="Y",25,0)</f>
        <v>75</v>
      </c>
      <c r="L428" t="str">
        <f>_xlfn.IFS(Table310[[#This Row],[Risk Score]]&gt;=85,"Critical",Table310[[#This Row],[Risk Score]]&gt;=65,"High",Table310[[#This Row],[Risk Score]]&gt;=45,"Medium",TRUE,"Low")</f>
        <v>High</v>
      </c>
    </row>
    <row r="429" spans="1:12" x14ac:dyDescent="0.3">
      <c r="A429" t="s">
        <v>815</v>
      </c>
      <c r="B429" t="s">
        <v>1164</v>
      </c>
      <c r="C429" t="s">
        <v>188</v>
      </c>
      <c r="D429" t="s">
        <v>191</v>
      </c>
      <c r="E429" t="s">
        <v>1997</v>
      </c>
      <c r="F429" t="s">
        <v>2240</v>
      </c>
      <c r="G429" t="s">
        <v>2375</v>
      </c>
      <c r="H429" t="s">
        <v>2374</v>
      </c>
      <c r="I429" t="s">
        <v>2374</v>
      </c>
      <c r="J429" t="str">
        <f>IF(COUNTIF(Table5[Country],Table310[Country])&gt;0,"Y","N")</f>
        <v>N</v>
      </c>
      <c r="K429">
        <f>IF(Table310[[#This Row],[Adverse Media]]="Y",15,0)+IF(Table310[[#This Row],[PEP]]="Y",50,0)+IF(Table310[[#This Row],[Sanctions]]="Y",70,0)+IF(Table310[[#This Row],[High Risk Country]]="Y",25,0)</f>
        <v>15</v>
      </c>
      <c r="L429" t="str">
        <f>_xlfn.IFS(Table310[[#This Row],[Risk Score]]&gt;=85,"Critical",Table310[[#This Row],[Risk Score]]&gt;=65,"High",Table310[[#This Row],[Risk Score]]&gt;=45,"Medium",TRUE,"Low")</f>
        <v>Low</v>
      </c>
    </row>
    <row r="430" spans="1:12" x14ac:dyDescent="0.3">
      <c r="A430" t="s">
        <v>816</v>
      </c>
      <c r="B430" t="s">
        <v>1165</v>
      </c>
      <c r="C430" t="s">
        <v>188</v>
      </c>
      <c r="D430" t="s">
        <v>242</v>
      </c>
      <c r="E430" t="s">
        <v>432</v>
      </c>
      <c r="F430" t="s">
        <v>2241</v>
      </c>
      <c r="G430" t="s">
        <v>2375</v>
      </c>
      <c r="H430" t="s">
        <v>2375</v>
      </c>
      <c r="I430" t="s">
        <v>2375</v>
      </c>
      <c r="J430" t="str">
        <f>IF(COUNTIF(Table5[Country],Table310[Country])&gt;0,"Y","N")</f>
        <v>N</v>
      </c>
      <c r="K430">
        <f>IF(Table310[[#This Row],[Adverse Media]]="Y",15,0)+IF(Table310[[#This Row],[PEP]]="Y",50,0)+IF(Table310[[#This Row],[Sanctions]]="Y",70,0)+IF(Table310[[#This Row],[High Risk Country]]="Y",25,0)</f>
        <v>135</v>
      </c>
      <c r="L430" t="str">
        <f>_xlfn.IFS(Table310[[#This Row],[Risk Score]]&gt;=85,"Critical",Table310[[#This Row],[Risk Score]]&gt;=65,"High",Table310[[#This Row],[Risk Score]]&gt;=45,"Medium",TRUE,"Low")</f>
        <v>Critical</v>
      </c>
    </row>
    <row r="431" spans="1:12" x14ac:dyDescent="0.3">
      <c r="A431" t="s">
        <v>817</v>
      </c>
      <c r="B431" t="s">
        <v>1166</v>
      </c>
      <c r="C431" t="s">
        <v>188</v>
      </c>
      <c r="D431" t="s">
        <v>227</v>
      </c>
      <c r="E431" t="s">
        <v>1998</v>
      </c>
      <c r="F431" t="s">
        <v>2242</v>
      </c>
      <c r="G431" t="s">
        <v>2374</v>
      </c>
      <c r="H431" t="s">
        <v>2375</v>
      </c>
      <c r="I431" t="s">
        <v>2375</v>
      </c>
      <c r="J431" t="str">
        <f>IF(COUNTIF(Table5[Country],Table310[Country])&gt;0,"Y","N")</f>
        <v>N</v>
      </c>
      <c r="K431">
        <f>IF(Table310[[#This Row],[Adverse Media]]="Y",15,0)+IF(Table310[[#This Row],[PEP]]="Y",50,0)+IF(Table310[[#This Row],[Sanctions]]="Y",70,0)+IF(Table310[[#This Row],[High Risk Country]]="Y",25,0)</f>
        <v>120</v>
      </c>
      <c r="L431" t="str">
        <f>_xlfn.IFS(Table310[[#This Row],[Risk Score]]&gt;=85,"Critical",Table310[[#This Row],[Risk Score]]&gt;=65,"High",Table310[[#This Row],[Risk Score]]&gt;=45,"Medium",TRUE,"Low")</f>
        <v>Critical</v>
      </c>
    </row>
    <row r="432" spans="1:12" x14ac:dyDescent="0.3">
      <c r="A432" t="s">
        <v>818</v>
      </c>
      <c r="B432" t="s">
        <v>1167</v>
      </c>
      <c r="C432" t="s">
        <v>188</v>
      </c>
      <c r="D432" t="s">
        <v>204</v>
      </c>
      <c r="E432" t="s">
        <v>1999</v>
      </c>
      <c r="F432" t="s">
        <v>2243</v>
      </c>
      <c r="G432" t="s">
        <v>2375</v>
      </c>
      <c r="H432" t="s">
        <v>2375</v>
      </c>
      <c r="I432" t="s">
        <v>2374</v>
      </c>
      <c r="J432" t="str">
        <f>IF(COUNTIF(Table5[Country],Table310[Country])&gt;0,"Y","N")</f>
        <v>Y</v>
      </c>
      <c r="K432">
        <f>IF(Table310[[#This Row],[Adverse Media]]="Y",15,0)+IF(Table310[[#This Row],[PEP]]="Y",50,0)+IF(Table310[[#This Row],[Sanctions]]="Y",70,0)+IF(Table310[[#This Row],[High Risk Country]]="Y",25,0)</f>
        <v>90</v>
      </c>
      <c r="L432" t="str">
        <f>_xlfn.IFS(Table310[[#This Row],[Risk Score]]&gt;=85,"Critical",Table310[[#This Row],[Risk Score]]&gt;=65,"High",Table310[[#This Row],[Risk Score]]&gt;=45,"Medium",TRUE,"Low")</f>
        <v>Critical</v>
      </c>
    </row>
    <row r="433" spans="1:12" x14ac:dyDescent="0.3">
      <c r="A433" t="s">
        <v>819</v>
      </c>
      <c r="B433" t="s">
        <v>1168</v>
      </c>
      <c r="C433" t="s">
        <v>188</v>
      </c>
      <c r="D433" t="s">
        <v>229</v>
      </c>
      <c r="E433" t="s">
        <v>2000</v>
      </c>
      <c r="F433" t="s">
        <v>2235</v>
      </c>
      <c r="G433" t="s">
        <v>2374</v>
      </c>
      <c r="H433" t="s">
        <v>2375</v>
      </c>
      <c r="I433" t="s">
        <v>2375</v>
      </c>
      <c r="J433" t="str">
        <f>IF(COUNTIF(Table5[Country],Table310[Country])&gt;0,"Y","N")</f>
        <v>N</v>
      </c>
      <c r="K433">
        <f>IF(Table310[[#This Row],[Adverse Media]]="Y",15,0)+IF(Table310[[#This Row],[PEP]]="Y",50,0)+IF(Table310[[#This Row],[Sanctions]]="Y",70,0)+IF(Table310[[#This Row],[High Risk Country]]="Y",25,0)</f>
        <v>120</v>
      </c>
      <c r="L433" t="str">
        <f>_xlfn.IFS(Table310[[#This Row],[Risk Score]]&gt;=85,"Critical",Table310[[#This Row],[Risk Score]]&gt;=65,"High",Table310[[#This Row],[Risk Score]]&gt;=45,"Medium",TRUE,"Low")</f>
        <v>Critical</v>
      </c>
    </row>
    <row r="434" spans="1:12" x14ac:dyDescent="0.3">
      <c r="A434" t="s">
        <v>820</v>
      </c>
      <c r="B434" t="s">
        <v>1169</v>
      </c>
      <c r="C434" t="s">
        <v>188</v>
      </c>
      <c r="D434" t="s">
        <v>238</v>
      </c>
      <c r="E434" t="s">
        <v>2001</v>
      </c>
      <c r="F434" t="s">
        <v>2244</v>
      </c>
      <c r="G434" t="s">
        <v>2375</v>
      </c>
      <c r="H434" t="s">
        <v>2375</v>
      </c>
      <c r="I434" t="s">
        <v>2374</v>
      </c>
      <c r="J434" t="str">
        <f>IF(COUNTIF(Table5[Country],Table310[Country])&gt;0,"Y","N")</f>
        <v>N</v>
      </c>
      <c r="K434">
        <f>IF(Table310[[#This Row],[Adverse Media]]="Y",15,0)+IF(Table310[[#This Row],[PEP]]="Y",50,0)+IF(Table310[[#This Row],[Sanctions]]="Y",70,0)+IF(Table310[[#This Row],[High Risk Country]]="Y",25,0)</f>
        <v>65</v>
      </c>
      <c r="L434" t="str">
        <f>_xlfn.IFS(Table310[[#This Row],[Risk Score]]&gt;=85,"Critical",Table310[[#This Row],[Risk Score]]&gt;=65,"High",Table310[[#This Row],[Risk Score]]&gt;=45,"Medium",TRUE,"Low")</f>
        <v>High</v>
      </c>
    </row>
    <row r="435" spans="1:12" x14ac:dyDescent="0.3">
      <c r="A435" t="s">
        <v>821</v>
      </c>
      <c r="B435" t="s">
        <v>1170</v>
      </c>
      <c r="C435" t="s">
        <v>188</v>
      </c>
      <c r="D435" t="s">
        <v>211</v>
      </c>
      <c r="E435" t="s">
        <v>582</v>
      </c>
      <c r="F435" t="s">
        <v>2190</v>
      </c>
      <c r="G435" t="s">
        <v>2375</v>
      </c>
      <c r="H435" t="s">
        <v>2374</v>
      </c>
      <c r="I435" t="s">
        <v>2375</v>
      </c>
      <c r="J435" t="str">
        <f>IF(COUNTIF(Table5[Country],Table310[Country])&gt;0,"Y","N")</f>
        <v>N</v>
      </c>
      <c r="K435">
        <f>IF(Table310[[#This Row],[Adverse Media]]="Y",15,0)+IF(Table310[[#This Row],[PEP]]="Y",50,0)+IF(Table310[[#This Row],[Sanctions]]="Y",70,0)+IF(Table310[[#This Row],[High Risk Country]]="Y",25,0)</f>
        <v>85</v>
      </c>
      <c r="L435" t="str">
        <f>_xlfn.IFS(Table310[[#This Row],[Risk Score]]&gt;=85,"Critical",Table310[[#This Row],[Risk Score]]&gt;=65,"High",Table310[[#This Row],[Risk Score]]&gt;=45,"Medium",TRUE,"Low")</f>
        <v>Critical</v>
      </c>
    </row>
    <row r="436" spans="1:12" x14ac:dyDescent="0.3">
      <c r="A436" t="s">
        <v>822</v>
      </c>
      <c r="B436" t="s">
        <v>1171</v>
      </c>
      <c r="C436" t="s">
        <v>188</v>
      </c>
      <c r="D436" t="s">
        <v>210</v>
      </c>
      <c r="E436" t="s">
        <v>2002</v>
      </c>
      <c r="F436" t="s">
        <v>2245</v>
      </c>
      <c r="G436" t="s">
        <v>2375</v>
      </c>
      <c r="H436" t="s">
        <v>2374</v>
      </c>
      <c r="I436" t="s">
        <v>2374</v>
      </c>
      <c r="J436" t="str">
        <f>IF(COUNTIF(Table5[Country],Table310[Country])&gt;0,"Y","N")</f>
        <v>N</v>
      </c>
      <c r="K436">
        <f>IF(Table310[[#This Row],[Adverse Media]]="Y",15,0)+IF(Table310[[#This Row],[PEP]]="Y",50,0)+IF(Table310[[#This Row],[Sanctions]]="Y",70,0)+IF(Table310[[#This Row],[High Risk Country]]="Y",25,0)</f>
        <v>15</v>
      </c>
      <c r="L436" t="str">
        <f>_xlfn.IFS(Table310[[#This Row],[Risk Score]]&gt;=85,"Critical",Table310[[#This Row],[Risk Score]]&gt;=65,"High",Table310[[#This Row],[Risk Score]]&gt;=45,"Medium",TRUE,"Low")</f>
        <v>Low</v>
      </c>
    </row>
    <row r="437" spans="1:12" x14ac:dyDescent="0.3">
      <c r="A437" t="s">
        <v>823</v>
      </c>
      <c r="B437" t="s">
        <v>1172</v>
      </c>
      <c r="C437" t="s">
        <v>188</v>
      </c>
      <c r="D437" t="s">
        <v>232</v>
      </c>
      <c r="E437" t="s">
        <v>368</v>
      </c>
      <c r="F437" t="s">
        <v>1914</v>
      </c>
      <c r="G437" t="s">
        <v>2374</v>
      </c>
      <c r="H437" t="s">
        <v>2374</v>
      </c>
      <c r="I437" t="s">
        <v>2375</v>
      </c>
      <c r="J437" t="str">
        <f>IF(COUNTIF(Table5[Country],Table310[Country])&gt;0,"Y","N")</f>
        <v>N</v>
      </c>
      <c r="K437">
        <f>IF(Table310[[#This Row],[Adverse Media]]="Y",15,0)+IF(Table310[[#This Row],[PEP]]="Y",50,0)+IF(Table310[[#This Row],[Sanctions]]="Y",70,0)+IF(Table310[[#This Row],[High Risk Country]]="Y",25,0)</f>
        <v>70</v>
      </c>
      <c r="L437" t="str">
        <f>_xlfn.IFS(Table310[[#This Row],[Risk Score]]&gt;=85,"Critical",Table310[[#This Row],[Risk Score]]&gt;=65,"High",Table310[[#This Row],[Risk Score]]&gt;=45,"Medium",TRUE,"Low")</f>
        <v>High</v>
      </c>
    </row>
    <row r="438" spans="1:12" x14ac:dyDescent="0.3">
      <c r="A438" t="s">
        <v>824</v>
      </c>
      <c r="B438" t="s">
        <v>1173</v>
      </c>
      <c r="C438" t="s">
        <v>188</v>
      </c>
      <c r="D438" t="s">
        <v>234</v>
      </c>
      <c r="E438" t="s">
        <v>2003</v>
      </c>
      <c r="F438" t="s">
        <v>1930</v>
      </c>
      <c r="G438" t="s">
        <v>2375</v>
      </c>
      <c r="H438" t="s">
        <v>2374</v>
      </c>
      <c r="I438" t="s">
        <v>2374</v>
      </c>
      <c r="J438" t="str">
        <f>IF(COUNTIF(Table5[Country],Table310[Country])&gt;0,"Y","N")</f>
        <v>Y</v>
      </c>
      <c r="K438">
        <f>IF(Table310[[#This Row],[Adverse Media]]="Y",15,0)+IF(Table310[[#This Row],[PEP]]="Y",50,0)+IF(Table310[[#This Row],[Sanctions]]="Y",70,0)+IF(Table310[[#This Row],[High Risk Country]]="Y",25,0)</f>
        <v>40</v>
      </c>
      <c r="L438" t="str">
        <f>_xlfn.IFS(Table310[[#This Row],[Risk Score]]&gt;=85,"Critical",Table310[[#This Row],[Risk Score]]&gt;=65,"High",Table310[[#This Row],[Risk Score]]&gt;=45,"Medium",TRUE,"Low")</f>
        <v>Low</v>
      </c>
    </row>
    <row r="439" spans="1:12" x14ac:dyDescent="0.3">
      <c r="A439" t="s">
        <v>825</v>
      </c>
      <c r="B439" t="s">
        <v>1174</v>
      </c>
      <c r="C439" t="s">
        <v>188</v>
      </c>
      <c r="D439" t="s">
        <v>196</v>
      </c>
      <c r="E439" t="s">
        <v>2004</v>
      </c>
      <c r="F439" t="s">
        <v>2246</v>
      </c>
      <c r="G439" t="s">
        <v>2375</v>
      </c>
      <c r="H439" t="s">
        <v>2375</v>
      </c>
      <c r="I439" t="s">
        <v>2375</v>
      </c>
      <c r="J439" t="str">
        <f>IF(COUNTIF(Table5[Country],Table310[Country])&gt;0,"Y","N")</f>
        <v>Y</v>
      </c>
      <c r="K439">
        <f>IF(Table310[[#This Row],[Adverse Media]]="Y",15,0)+IF(Table310[[#This Row],[PEP]]="Y",50,0)+IF(Table310[[#This Row],[Sanctions]]="Y",70,0)+IF(Table310[[#This Row],[High Risk Country]]="Y",25,0)</f>
        <v>160</v>
      </c>
      <c r="L439" t="str">
        <f>_xlfn.IFS(Table310[[#This Row],[Risk Score]]&gt;=85,"Critical",Table310[[#This Row],[Risk Score]]&gt;=65,"High",Table310[[#This Row],[Risk Score]]&gt;=45,"Medium",TRUE,"Low")</f>
        <v>Critical</v>
      </c>
    </row>
    <row r="440" spans="1:12" x14ac:dyDescent="0.3">
      <c r="A440" t="s">
        <v>826</v>
      </c>
      <c r="B440" t="s">
        <v>1175</v>
      </c>
      <c r="C440" t="s">
        <v>188</v>
      </c>
      <c r="D440" t="s">
        <v>243</v>
      </c>
      <c r="E440" t="s">
        <v>1842</v>
      </c>
      <c r="F440" t="s">
        <v>2201</v>
      </c>
      <c r="G440" t="s">
        <v>2375</v>
      </c>
      <c r="H440" t="s">
        <v>2374</v>
      </c>
      <c r="I440" t="s">
        <v>2375</v>
      </c>
      <c r="J440" t="str">
        <f>IF(COUNTIF(Table5[Country],Table310[Country])&gt;0,"Y","N")</f>
        <v>Y</v>
      </c>
      <c r="K440">
        <f>IF(Table310[[#This Row],[Adverse Media]]="Y",15,0)+IF(Table310[[#This Row],[PEP]]="Y",50,0)+IF(Table310[[#This Row],[Sanctions]]="Y",70,0)+IF(Table310[[#This Row],[High Risk Country]]="Y",25,0)</f>
        <v>110</v>
      </c>
      <c r="L440" t="str">
        <f>_xlfn.IFS(Table310[[#This Row],[Risk Score]]&gt;=85,"Critical",Table310[[#This Row],[Risk Score]]&gt;=65,"High",Table310[[#This Row],[Risk Score]]&gt;=45,"Medium",TRUE,"Low")</f>
        <v>Critical</v>
      </c>
    </row>
    <row r="441" spans="1:12" x14ac:dyDescent="0.3">
      <c r="A441" t="s">
        <v>827</v>
      </c>
      <c r="B441" t="s">
        <v>1176</v>
      </c>
      <c r="C441" t="s">
        <v>188</v>
      </c>
      <c r="D441" t="s">
        <v>237</v>
      </c>
      <c r="E441" t="s">
        <v>2005</v>
      </c>
      <c r="F441" t="s">
        <v>1821</v>
      </c>
      <c r="G441" t="s">
        <v>2374</v>
      </c>
      <c r="H441" t="s">
        <v>2374</v>
      </c>
      <c r="I441" t="s">
        <v>2374</v>
      </c>
      <c r="J441" t="str">
        <f>IF(COUNTIF(Table5[Country],Table310[Country])&gt;0,"Y","N")</f>
        <v>Y</v>
      </c>
      <c r="K441">
        <f>IF(Table310[[#This Row],[Adverse Media]]="Y",15,0)+IF(Table310[[#This Row],[PEP]]="Y",50,0)+IF(Table310[[#This Row],[Sanctions]]="Y",70,0)+IF(Table310[[#This Row],[High Risk Country]]="Y",25,0)</f>
        <v>25</v>
      </c>
      <c r="L441" t="str">
        <f>_xlfn.IFS(Table310[[#This Row],[Risk Score]]&gt;=85,"Critical",Table310[[#This Row],[Risk Score]]&gt;=65,"High",Table310[[#This Row],[Risk Score]]&gt;=45,"Medium",TRUE,"Low")</f>
        <v>Low</v>
      </c>
    </row>
    <row r="442" spans="1:12" x14ac:dyDescent="0.3">
      <c r="A442" t="s">
        <v>828</v>
      </c>
      <c r="B442" t="s">
        <v>1177</v>
      </c>
      <c r="C442" t="s">
        <v>188</v>
      </c>
      <c r="D442" t="s">
        <v>246</v>
      </c>
      <c r="E442" t="s">
        <v>2006</v>
      </c>
      <c r="F442" t="s">
        <v>2247</v>
      </c>
      <c r="G442" t="s">
        <v>2375</v>
      </c>
      <c r="H442" t="s">
        <v>2374</v>
      </c>
      <c r="I442" t="s">
        <v>2375</v>
      </c>
      <c r="J442" t="str">
        <f>IF(COUNTIF(Table5[Country],Table310[Country])&gt;0,"Y","N")</f>
        <v>N</v>
      </c>
      <c r="K442">
        <f>IF(Table310[[#This Row],[Adverse Media]]="Y",15,0)+IF(Table310[[#This Row],[PEP]]="Y",50,0)+IF(Table310[[#This Row],[Sanctions]]="Y",70,0)+IF(Table310[[#This Row],[High Risk Country]]="Y",25,0)</f>
        <v>85</v>
      </c>
      <c r="L442" t="str">
        <f>_xlfn.IFS(Table310[[#This Row],[Risk Score]]&gt;=85,"Critical",Table310[[#This Row],[Risk Score]]&gt;=65,"High",Table310[[#This Row],[Risk Score]]&gt;=45,"Medium",TRUE,"Low")</f>
        <v>Critical</v>
      </c>
    </row>
    <row r="443" spans="1:12" x14ac:dyDescent="0.3">
      <c r="A443" t="s">
        <v>829</v>
      </c>
      <c r="B443" t="s">
        <v>1178</v>
      </c>
      <c r="C443" t="s">
        <v>188</v>
      </c>
      <c r="D443" t="s">
        <v>235</v>
      </c>
      <c r="E443" t="s">
        <v>295</v>
      </c>
      <c r="F443" t="s">
        <v>2248</v>
      </c>
      <c r="G443" t="s">
        <v>2375</v>
      </c>
      <c r="H443" t="s">
        <v>2374</v>
      </c>
      <c r="I443" t="s">
        <v>2374</v>
      </c>
      <c r="J443" t="str">
        <f>IF(COUNTIF(Table5[Country],Table310[Country])&gt;0,"Y","N")</f>
        <v>N</v>
      </c>
      <c r="K443">
        <f>IF(Table310[[#This Row],[Adverse Media]]="Y",15,0)+IF(Table310[[#This Row],[PEP]]="Y",50,0)+IF(Table310[[#This Row],[Sanctions]]="Y",70,0)+IF(Table310[[#This Row],[High Risk Country]]="Y",25,0)</f>
        <v>15</v>
      </c>
      <c r="L443" t="str">
        <f>_xlfn.IFS(Table310[[#This Row],[Risk Score]]&gt;=85,"Critical",Table310[[#This Row],[Risk Score]]&gt;=65,"High",Table310[[#This Row],[Risk Score]]&gt;=45,"Medium",TRUE,"Low")</f>
        <v>Low</v>
      </c>
    </row>
    <row r="444" spans="1:12" x14ac:dyDescent="0.3">
      <c r="A444" t="s">
        <v>830</v>
      </c>
      <c r="B444" t="s">
        <v>1179</v>
      </c>
      <c r="C444" t="s">
        <v>188</v>
      </c>
      <c r="D444" t="s">
        <v>220</v>
      </c>
      <c r="E444" t="s">
        <v>2007</v>
      </c>
      <c r="F444" t="s">
        <v>2249</v>
      </c>
      <c r="G444" t="s">
        <v>2375</v>
      </c>
      <c r="H444" t="s">
        <v>2375</v>
      </c>
      <c r="I444" t="s">
        <v>2374</v>
      </c>
      <c r="J444" t="str">
        <f>IF(COUNTIF(Table5[Country],Table310[Country])&gt;0,"Y","N")</f>
        <v>N</v>
      </c>
      <c r="K444">
        <f>IF(Table310[[#This Row],[Adverse Media]]="Y",15,0)+IF(Table310[[#This Row],[PEP]]="Y",50,0)+IF(Table310[[#This Row],[Sanctions]]="Y",70,0)+IF(Table310[[#This Row],[High Risk Country]]="Y",25,0)</f>
        <v>65</v>
      </c>
      <c r="L444" t="str">
        <f>_xlfn.IFS(Table310[[#This Row],[Risk Score]]&gt;=85,"Critical",Table310[[#This Row],[Risk Score]]&gt;=65,"High",Table310[[#This Row],[Risk Score]]&gt;=45,"Medium",TRUE,"Low")</f>
        <v>High</v>
      </c>
    </row>
    <row r="445" spans="1:12" x14ac:dyDescent="0.3">
      <c r="A445" t="s">
        <v>831</v>
      </c>
      <c r="B445" t="s">
        <v>1180</v>
      </c>
      <c r="C445" t="s">
        <v>188</v>
      </c>
      <c r="D445" t="s">
        <v>190</v>
      </c>
      <c r="E445" t="s">
        <v>2008</v>
      </c>
      <c r="F445" t="s">
        <v>2250</v>
      </c>
      <c r="G445" t="s">
        <v>2375</v>
      </c>
      <c r="H445" t="s">
        <v>2374</v>
      </c>
      <c r="I445" t="s">
        <v>2375</v>
      </c>
      <c r="J445" t="str">
        <f>IF(COUNTIF(Table5[Country],Table310[Country])&gt;0,"Y","N")</f>
        <v>N</v>
      </c>
      <c r="K445">
        <f>IF(Table310[[#This Row],[Adverse Media]]="Y",15,0)+IF(Table310[[#This Row],[PEP]]="Y",50,0)+IF(Table310[[#This Row],[Sanctions]]="Y",70,0)+IF(Table310[[#This Row],[High Risk Country]]="Y",25,0)</f>
        <v>85</v>
      </c>
      <c r="L445" t="str">
        <f>_xlfn.IFS(Table310[[#This Row],[Risk Score]]&gt;=85,"Critical",Table310[[#This Row],[Risk Score]]&gt;=65,"High",Table310[[#This Row],[Risk Score]]&gt;=45,"Medium",TRUE,"Low")</f>
        <v>Critical</v>
      </c>
    </row>
    <row r="446" spans="1:12" x14ac:dyDescent="0.3">
      <c r="A446" t="s">
        <v>832</v>
      </c>
      <c r="B446" t="s">
        <v>1181</v>
      </c>
      <c r="C446" t="s">
        <v>188</v>
      </c>
      <c r="D446" t="s">
        <v>231</v>
      </c>
      <c r="E446" t="s">
        <v>2009</v>
      </c>
      <c r="F446" t="s">
        <v>334</v>
      </c>
      <c r="G446" t="s">
        <v>2375</v>
      </c>
      <c r="H446" t="s">
        <v>2375</v>
      </c>
      <c r="I446" t="s">
        <v>2375</v>
      </c>
      <c r="J446" t="str">
        <f>IF(COUNTIF(Table5[Country],Table310[Country])&gt;0,"Y","N")</f>
        <v>N</v>
      </c>
      <c r="K446">
        <f>IF(Table310[[#This Row],[Adverse Media]]="Y",15,0)+IF(Table310[[#This Row],[PEP]]="Y",50,0)+IF(Table310[[#This Row],[Sanctions]]="Y",70,0)+IF(Table310[[#This Row],[High Risk Country]]="Y",25,0)</f>
        <v>135</v>
      </c>
      <c r="L446" t="str">
        <f>_xlfn.IFS(Table310[[#This Row],[Risk Score]]&gt;=85,"Critical",Table310[[#This Row],[Risk Score]]&gt;=65,"High",Table310[[#This Row],[Risk Score]]&gt;=45,"Medium",TRUE,"Low")</f>
        <v>Critical</v>
      </c>
    </row>
    <row r="447" spans="1:12" x14ac:dyDescent="0.3">
      <c r="A447" t="s">
        <v>833</v>
      </c>
      <c r="B447" t="s">
        <v>1182</v>
      </c>
      <c r="C447" t="s">
        <v>188</v>
      </c>
      <c r="D447" t="s">
        <v>244</v>
      </c>
      <c r="E447" t="s">
        <v>2010</v>
      </c>
      <c r="F447" t="s">
        <v>2231</v>
      </c>
      <c r="G447" t="s">
        <v>2375</v>
      </c>
      <c r="H447" t="s">
        <v>2374</v>
      </c>
      <c r="I447" t="s">
        <v>2375</v>
      </c>
      <c r="J447" t="str">
        <f>IF(COUNTIF(Table5[Country],Table310[Country])&gt;0,"Y","N")</f>
        <v>Y</v>
      </c>
      <c r="K447">
        <f>IF(Table310[[#This Row],[Adverse Media]]="Y",15,0)+IF(Table310[[#This Row],[PEP]]="Y",50,0)+IF(Table310[[#This Row],[Sanctions]]="Y",70,0)+IF(Table310[[#This Row],[High Risk Country]]="Y",25,0)</f>
        <v>110</v>
      </c>
      <c r="L447" t="str">
        <f>_xlfn.IFS(Table310[[#This Row],[Risk Score]]&gt;=85,"Critical",Table310[[#This Row],[Risk Score]]&gt;=65,"High",Table310[[#This Row],[Risk Score]]&gt;=45,"Medium",TRUE,"Low")</f>
        <v>Critical</v>
      </c>
    </row>
    <row r="448" spans="1:12" x14ac:dyDescent="0.3">
      <c r="A448" t="s">
        <v>834</v>
      </c>
      <c r="B448" t="s">
        <v>1183</v>
      </c>
      <c r="C448" t="s">
        <v>188</v>
      </c>
      <c r="D448" t="s">
        <v>206</v>
      </c>
      <c r="E448" t="s">
        <v>2011</v>
      </c>
      <c r="F448" t="s">
        <v>2251</v>
      </c>
      <c r="G448" t="s">
        <v>2375</v>
      </c>
      <c r="H448" t="s">
        <v>2374</v>
      </c>
      <c r="I448" t="s">
        <v>2375</v>
      </c>
      <c r="J448" t="str">
        <f>IF(COUNTIF(Table5[Country],Table310[Country])&gt;0,"Y","N")</f>
        <v>Y</v>
      </c>
      <c r="K448">
        <f>IF(Table310[[#This Row],[Adverse Media]]="Y",15,0)+IF(Table310[[#This Row],[PEP]]="Y",50,0)+IF(Table310[[#This Row],[Sanctions]]="Y",70,0)+IF(Table310[[#This Row],[High Risk Country]]="Y",25,0)</f>
        <v>110</v>
      </c>
      <c r="L448" t="str">
        <f>_xlfn.IFS(Table310[[#This Row],[Risk Score]]&gt;=85,"Critical",Table310[[#This Row],[Risk Score]]&gt;=65,"High",Table310[[#This Row],[Risk Score]]&gt;=45,"Medium",TRUE,"Low")</f>
        <v>Critical</v>
      </c>
    </row>
    <row r="449" spans="1:12" x14ac:dyDescent="0.3">
      <c r="A449" t="s">
        <v>835</v>
      </c>
      <c r="B449" t="s">
        <v>1184</v>
      </c>
      <c r="C449" t="s">
        <v>188</v>
      </c>
      <c r="D449" t="s">
        <v>194</v>
      </c>
      <c r="E449" t="s">
        <v>2012</v>
      </c>
      <c r="F449" t="s">
        <v>2252</v>
      </c>
      <c r="G449" t="s">
        <v>2374</v>
      </c>
      <c r="H449" t="s">
        <v>2374</v>
      </c>
      <c r="I449" t="s">
        <v>2375</v>
      </c>
      <c r="J449" t="str">
        <f>IF(COUNTIF(Table5[Country],Table310[Country])&gt;0,"Y","N")</f>
        <v>Y</v>
      </c>
      <c r="K449">
        <f>IF(Table310[[#This Row],[Adverse Media]]="Y",15,0)+IF(Table310[[#This Row],[PEP]]="Y",50,0)+IF(Table310[[#This Row],[Sanctions]]="Y",70,0)+IF(Table310[[#This Row],[High Risk Country]]="Y",25,0)</f>
        <v>95</v>
      </c>
      <c r="L449" t="str">
        <f>_xlfn.IFS(Table310[[#This Row],[Risk Score]]&gt;=85,"Critical",Table310[[#This Row],[Risk Score]]&gt;=65,"High",Table310[[#This Row],[Risk Score]]&gt;=45,"Medium",TRUE,"Low")</f>
        <v>Critical</v>
      </c>
    </row>
    <row r="450" spans="1:12" x14ac:dyDescent="0.3">
      <c r="A450" t="s">
        <v>836</v>
      </c>
      <c r="B450" t="s">
        <v>1185</v>
      </c>
      <c r="C450" t="s">
        <v>188</v>
      </c>
      <c r="D450" t="s">
        <v>218</v>
      </c>
      <c r="E450" t="s">
        <v>2013</v>
      </c>
      <c r="F450" t="s">
        <v>2253</v>
      </c>
      <c r="G450" t="s">
        <v>2375</v>
      </c>
      <c r="H450" t="s">
        <v>2374</v>
      </c>
      <c r="I450" t="s">
        <v>2375</v>
      </c>
      <c r="J450" t="str">
        <f>IF(COUNTIF(Table5[Country],Table310[Country])&gt;0,"Y","N")</f>
        <v>N</v>
      </c>
      <c r="K450">
        <f>IF(Table310[[#This Row],[Adverse Media]]="Y",15,0)+IF(Table310[[#This Row],[PEP]]="Y",50,0)+IF(Table310[[#This Row],[Sanctions]]="Y",70,0)+IF(Table310[[#This Row],[High Risk Country]]="Y",25,0)</f>
        <v>85</v>
      </c>
      <c r="L450" t="str">
        <f>_xlfn.IFS(Table310[[#This Row],[Risk Score]]&gt;=85,"Critical",Table310[[#This Row],[Risk Score]]&gt;=65,"High",Table310[[#This Row],[Risk Score]]&gt;=45,"Medium",TRUE,"Low")</f>
        <v>Critical</v>
      </c>
    </row>
    <row r="451" spans="1:12" x14ac:dyDescent="0.3">
      <c r="A451" t="s">
        <v>837</v>
      </c>
      <c r="B451" t="s">
        <v>1186</v>
      </c>
      <c r="C451" t="s">
        <v>188</v>
      </c>
      <c r="D451" t="s">
        <v>234</v>
      </c>
      <c r="E451" t="s">
        <v>513</v>
      </c>
      <c r="F451" t="s">
        <v>2254</v>
      </c>
      <c r="G451" t="s">
        <v>2375</v>
      </c>
      <c r="H451" t="s">
        <v>2374</v>
      </c>
      <c r="I451" t="s">
        <v>2375</v>
      </c>
      <c r="J451" t="str">
        <f>IF(COUNTIF(Table5[Country],Table310[Country])&gt;0,"Y","N")</f>
        <v>Y</v>
      </c>
      <c r="K451">
        <f>IF(Table310[[#This Row],[Adverse Media]]="Y",15,0)+IF(Table310[[#This Row],[PEP]]="Y",50,0)+IF(Table310[[#This Row],[Sanctions]]="Y",70,0)+IF(Table310[[#This Row],[High Risk Country]]="Y",25,0)</f>
        <v>110</v>
      </c>
      <c r="L451" t="str">
        <f>_xlfn.IFS(Table310[[#This Row],[Risk Score]]&gt;=85,"Critical",Table310[[#This Row],[Risk Score]]&gt;=65,"High",Table310[[#This Row],[Risk Score]]&gt;=45,"Medium",TRUE,"Low")</f>
        <v>Critical</v>
      </c>
    </row>
    <row r="452" spans="1:12" x14ac:dyDescent="0.3">
      <c r="A452" t="s">
        <v>838</v>
      </c>
      <c r="B452" t="s">
        <v>1187</v>
      </c>
      <c r="C452" t="s">
        <v>188</v>
      </c>
      <c r="D452" t="s">
        <v>208</v>
      </c>
      <c r="E452" t="s">
        <v>2014</v>
      </c>
      <c r="F452" t="s">
        <v>2255</v>
      </c>
      <c r="G452" t="s">
        <v>2374</v>
      </c>
      <c r="H452" t="s">
        <v>2374</v>
      </c>
      <c r="I452" t="s">
        <v>2375</v>
      </c>
      <c r="J452" t="str">
        <f>IF(COUNTIF(Table5[Country],Table310[Country])&gt;0,"Y","N")</f>
        <v>Y</v>
      </c>
      <c r="K452">
        <f>IF(Table310[[#This Row],[Adverse Media]]="Y",15,0)+IF(Table310[[#This Row],[PEP]]="Y",50,0)+IF(Table310[[#This Row],[Sanctions]]="Y",70,0)+IF(Table310[[#This Row],[High Risk Country]]="Y",25,0)</f>
        <v>95</v>
      </c>
      <c r="L452" t="str">
        <f>_xlfn.IFS(Table310[[#This Row],[Risk Score]]&gt;=85,"Critical",Table310[[#This Row],[Risk Score]]&gt;=65,"High",Table310[[#This Row],[Risk Score]]&gt;=45,"Medium",TRUE,"Low")</f>
        <v>Critical</v>
      </c>
    </row>
    <row r="453" spans="1:12" x14ac:dyDescent="0.3">
      <c r="A453" t="s">
        <v>839</v>
      </c>
      <c r="B453" t="s">
        <v>1188</v>
      </c>
      <c r="C453" t="s">
        <v>188</v>
      </c>
      <c r="D453" t="s">
        <v>228</v>
      </c>
      <c r="E453" t="s">
        <v>585</v>
      </c>
      <c r="F453" t="s">
        <v>427</v>
      </c>
      <c r="G453" t="s">
        <v>2374</v>
      </c>
      <c r="H453" t="s">
        <v>2374</v>
      </c>
      <c r="I453" t="s">
        <v>2374</v>
      </c>
      <c r="J453" t="str">
        <f>IF(COUNTIF(Table5[Country],Table310[Country])&gt;0,"Y","N")</f>
        <v>N</v>
      </c>
      <c r="K453">
        <f>IF(Table310[[#This Row],[Adverse Media]]="Y",15,0)+IF(Table310[[#This Row],[PEP]]="Y",50,0)+IF(Table310[[#This Row],[Sanctions]]="Y",70,0)+IF(Table310[[#This Row],[High Risk Country]]="Y",25,0)</f>
        <v>0</v>
      </c>
      <c r="L453" t="str">
        <f>_xlfn.IFS(Table310[[#This Row],[Risk Score]]&gt;=85,"Critical",Table310[[#This Row],[Risk Score]]&gt;=65,"High",Table310[[#This Row],[Risk Score]]&gt;=45,"Medium",TRUE,"Low")</f>
        <v>Low</v>
      </c>
    </row>
    <row r="454" spans="1:12" x14ac:dyDescent="0.3">
      <c r="A454" t="s">
        <v>840</v>
      </c>
      <c r="B454" t="s">
        <v>1189</v>
      </c>
      <c r="C454" t="s">
        <v>188</v>
      </c>
      <c r="D454" t="s">
        <v>231</v>
      </c>
      <c r="E454" t="s">
        <v>2015</v>
      </c>
      <c r="F454" t="s">
        <v>1913</v>
      </c>
      <c r="G454" t="s">
        <v>2374</v>
      </c>
      <c r="H454" t="s">
        <v>2374</v>
      </c>
      <c r="I454" t="s">
        <v>2374</v>
      </c>
      <c r="J454" t="str">
        <f>IF(COUNTIF(Table5[Country],Table310[Country])&gt;0,"Y","N")</f>
        <v>N</v>
      </c>
      <c r="K454">
        <f>IF(Table310[[#This Row],[Adverse Media]]="Y",15,0)+IF(Table310[[#This Row],[PEP]]="Y",50,0)+IF(Table310[[#This Row],[Sanctions]]="Y",70,0)+IF(Table310[[#This Row],[High Risk Country]]="Y",25,0)</f>
        <v>0</v>
      </c>
      <c r="L454" t="str">
        <f>_xlfn.IFS(Table310[[#This Row],[Risk Score]]&gt;=85,"Critical",Table310[[#This Row],[Risk Score]]&gt;=65,"High",Table310[[#This Row],[Risk Score]]&gt;=45,"Medium",TRUE,"Low")</f>
        <v>Low</v>
      </c>
    </row>
    <row r="455" spans="1:12" x14ac:dyDescent="0.3">
      <c r="A455" t="s">
        <v>841</v>
      </c>
      <c r="B455" t="s">
        <v>1190</v>
      </c>
      <c r="C455" t="s">
        <v>188</v>
      </c>
      <c r="D455" t="s">
        <v>230</v>
      </c>
      <c r="E455" t="s">
        <v>2016</v>
      </c>
      <c r="F455" t="s">
        <v>459</v>
      </c>
      <c r="G455" t="s">
        <v>2374</v>
      </c>
      <c r="H455" t="s">
        <v>2374</v>
      </c>
      <c r="I455" t="s">
        <v>2374</v>
      </c>
      <c r="J455" t="str">
        <f>IF(COUNTIF(Table5[Country],Table310[Country])&gt;0,"Y","N")</f>
        <v>N</v>
      </c>
      <c r="K455">
        <f>IF(Table310[[#This Row],[Adverse Media]]="Y",15,0)+IF(Table310[[#This Row],[PEP]]="Y",50,0)+IF(Table310[[#This Row],[Sanctions]]="Y",70,0)+IF(Table310[[#This Row],[High Risk Country]]="Y",25,0)</f>
        <v>0</v>
      </c>
      <c r="L455" t="str">
        <f>_xlfn.IFS(Table310[[#This Row],[Risk Score]]&gt;=85,"Critical",Table310[[#This Row],[Risk Score]]&gt;=65,"High",Table310[[#This Row],[Risk Score]]&gt;=45,"Medium",TRUE,"Low")</f>
        <v>Low</v>
      </c>
    </row>
    <row r="456" spans="1:12" x14ac:dyDescent="0.3">
      <c r="A456" t="s">
        <v>842</v>
      </c>
      <c r="B456" t="s">
        <v>1191</v>
      </c>
      <c r="C456" t="s">
        <v>188</v>
      </c>
      <c r="D456" t="s">
        <v>239</v>
      </c>
      <c r="E456" t="s">
        <v>2017</v>
      </c>
      <c r="F456" t="s">
        <v>2256</v>
      </c>
      <c r="G456" t="s">
        <v>2375</v>
      </c>
      <c r="H456" t="s">
        <v>2374</v>
      </c>
      <c r="I456" t="s">
        <v>2374</v>
      </c>
      <c r="J456" t="str">
        <f>IF(COUNTIF(Table5[Country],Table310[Country])&gt;0,"Y","N")</f>
        <v>N</v>
      </c>
      <c r="K456">
        <f>IF(Table310[[#This Row],[Adverse Media]]="Y",15,0)+IF(Table310[[#This Row],[PEP]]="Y",50,0)+IF(Table310[[#This Row],[Sanctions]]="Y",70,0)+IF(Table310[[#This Row],[High Risk Country]]="Y",25,0)</f>
        <v>15</v>
      </c>
      <c r="L456" t="str">
        <f>_xlfn.IFS(Table310[[#This Row],[Risk Score]]&gt;=85,"Critical",Table310[[#This Row],[Risk Score]]&gt;=65,"High",Table310[[#This Row],[Risk Score]]&gt;=45,"Medium",TRUE,"Low")</f>
        <v>Low</v>
      </c>
    </row>
    <row r="457" spans="1:12" x14ac:dyDescent="0.3">
      <c r="A457" t="s">
        <v>843</v>
      </c>
      <c r="B457" t="s">
        <v>1192</v>
      </c>
      <c r="C457" t="s">
        <v>188</v>
      </c>
      <c r="D457" t="s">
        <v>239</v>
      </c>
      <c r="E457" t="s">
        <v>2018</v>
      </c>
      <c r="F457" t="s">
        <v>2257</v>
      </c>
      <c r="G457" t="s">
        <v>2375</v>
      </c>
      <c r="H457" t="s">
        <v>2374</v>
      </c>
      <c r="I457" t="s">
        <v>2374</v>
      </c>
      <c r="J457" t="str">
        <f>IF(COUNTIF(Table5[Country],Table310[Country])&gt;0,"Y","N")</f>
        <v>N</v>
      </c>
      <c r="K457">
        <f>IF(Table310[[#This Row],[Adverse Media]]="Y",15,0)+IF(Table310[[#This Row],[PEP]]="Y",50,0)+IF(Table310[[#This Row],[Sanctions]]="Y",70,0)+IF(Table310[[#This Row],[High Risk Country]]="Y",25,0)</f>
        <v>15</v>
      </c>
      <c r="L457" t="str">
        <f>_xlfn.IFS(Table310[[#This Row],[Risk Score]]&gt;=85,"Critical",Table310[[#This Row],[Risk Score]]&gt;=65,"High",Table310[[#This Row],[Risk Score]]&gt;=45,"Medium",TRUE,"Low")</f>
        <v>Low</v>
      </c>
    </row>
    <row r="458" spans="1:12" x14ac:dyDescent="0.3">
      <c r="A458" t="s">
        <v>844</v>
      </c>
      <c r="B458" t="s">
        <v>1193</v>
      </c>
      <c r="C458" t="s">
        <v>188</v>
      </c>
      <c r="D458" t="s">
        <v>197</v>
      </c>
      <c r="E458" t="s">
        <v>2019</v>
      </c>
      <c r="F458" t="s">
        <v>1977</v>
      </c>
      <c r="G458" t="s">
        <v>2374</v>
      </c>
      <c r="H458" t="s">
        <v>2374</v>
      </c>
      <c r="I458" t="s">
        <v>2374</v>
      </c>
      <c r="J458" t="str">
        <f>IF(COUNTIF(Table5[Country],Table310[Country])&gt;0,"Y","N")</f>
        <v>Y</v>
      </c>
      <c r="K458">
        <f>IF(Table310[[#This Row],[Adverse Media]]="Y",15,0)+IF(Table310[[#This Row],[PEP]]="Y",50,0)+IF(Table310[[#This Row],[Sanctions]]="Y",70,0)+IF(Table310[[#This Row],[High Risk Country]]="Y",25,0)</f>
        <v>25</v>
      </c>
      <c r="L458" t="str">
        <f>_xlfn.IFS(Table310[[#This Row],[Risk Score]]&gt;=85,"Critical",Table310[[#This Row],[Risk Score]]&gt;=65,"High",Table310[[#This Row],[Risk Score]]&gt;=45,"Medium",TRUE,"Low")</f>
        <v>Low</v>
      </c>
    </row>
    <row r="459" spans="1:12" x14ac:dyDescent="0.3">
      <c r="A459" t="s">
        <v>845</v>
      </c>
      <c r="B459" t="s">
        <v>1194</v>
      </c>
      <c r="C459" t="s">
        <v>188</v>
      </c>
      <c r="D459" t="s">
        <v>229</v>
      </c>
      <c r="E459" t="s">
        <v>2020</v>
      </c>
      <c r="F459" t="s">
        <v>2258</v>
      </c>
      <c r="G459" t="s">
        <v>2375</v>
      </c>
      <c r="H459" t="s">
        <v>2374</v>
      </c>
      <c r="I459" t="s">
        <v>2374</v>
      </c>
      <c r="J459" t="str">
        <f>IF(COUNTIF(Table5[Country],Table310[Country])&gt;0,"Y","N")</f>
        <v>N</v>
      </c>
      <c r="K459">
        <f>IF(Table310[[#This Row],[Adverse Media]]="Y",15,0)+IF(Table310[[#This Row],[PEP]]="Y",50,0)+IF(Table310[[#This Row],[Sanctions]]="Y",70,0)+IF(Table310[[#This Row],[High Risk Country]]="Y",25,0)</f>
        <v>15</v>
      </c>
      <c r="L459" t="str">
        <f>_xlfn.IFS(Table310[[#This Row],[Risk Score]]&gt;=85,"Critical",Table310[[#This Row],[Risk Score]]&gt;=65,"High",Table310[[#This Row],[Risk Score]]&gt;=45,"Medium",TRUE,"Low")</f>
        <v>Low</v>
      </c>
    </row>
    <row r="460" spans="1:12" x14ac:dyDescent="0.3">
      <c r="A460" t="s">
        <v>846</v>
      </c>
      <c r="B460" t="s">
        <v>1195</v>
      </c>
      <c r="C460" t="s">
        <v>188</v>
      </c>
      <c r="D460" t="s">
        <v>248</v>
      </c>
      <c r="E460" t="s">
        <v>2021</v>
      </c>
      <c r="F460" t="s">
        <v>2259</v>
      </c>
      <c r="G460" t="s">
        <v>2374</v>
      </c>
      <c r="H460" t="s">
        <v>2374</v>
      </c>
      <c r="I460" t="s">
        <v>2374</v>
      </c>
      <c r="J460" t="str">
        <f>IF(COUNTIF(Table5[Country],Table310[Country])&gt;0,"Y","N")</f>
        <v>N</v>
      </c>
      <c r="K460">
        <f>IF(Table310[[#This Row],[Adverse Media]]="Y",15,0)+IF(Table310[[#This Row],[PEP]]="Y",50,0)+IF(Table310[[#This Row],[Sanctions]]="Y",70,0)+IF(Table310[[#This Row],[High Risk Country]]="Y",25,0)</f>
        <v>0</v>
      </c>
      <c r="L460" t="str">
        <f>_xlfn.IFS(Table310[[#This Row],[Risk Score]]&gt;=85,"Critical",Table310[[#This Row],[Risk Score]]&gt;=65,"High",Table310[[#This Row],[Risk Score]]&gt;=45,"Medium",TRUE,"Low")</f>
        <v>Low</v>
      </c>
    </row>
    <row r="461" spans="1:12" x14ac:dyDescent="0.3">
      <c r="A461" t="s">
        <v>847</v>
      </c>
      <c r="B461" t="s">
        <v>1196</v>
      </c>
      <c r="C461" t="s">
        <v>188</v>
      </c>
      <c r="D461" t="s">
        <v>213</v>
      </c>
      <c r="E461" t="s">
        <v>2022</v>
      </c>
      <c r="F461" t="s">
        <v>387</v>
      </c>
      <c r="G461" t="s">
        <v>2375</v>
      </c>
      <c r="H461" t="s">
        <v>2374</v>
      </c>
      <c r="I461" t="s">
        <v>2374</v>
      </c>
      <c r="J461" t="str">
        <f>IF(COUNTIF(Table5[Country],Table310[Country])&gt;0,"Y","N")</f>
        <v>Y</v>
      </c>
      <c r="K461">
        <f>IF(Table310[[#This Row],[Adverse Media]]="Y",15,0)+IF(Table310[[#This Row],[PEP]]="Y",50,0)+IF(Table310[[#This Row],[Sanctions]]="Y",70,0)+IF(Table310[[#This Row],[High Risk Country]]="Y",25,0)</f>
        <v>40</v>
      </c>
      <c r="L461" t="str">
        <f>_xlfn.IFS(Table310[[#This Row],[Risk Score]]&gt;=85,"Critical",Table310[[#This Row],[Risk Score]]&gt;=65,"High",Table310[[#This Row],[Risk Score]]&gt;=45,"Medium",TRUE,"Low")</f>
        <v>Low</v>
      </c>
    </row>
    <row r="462" spans="1:12" x14ac:dyDescent="0.3">
      <c r="A462" t="s">
        <v>848</v>
      </c>
      <c r="B462" t="s">
        <v>1197</v>
      </c>
      <c r="C462" t="s">
        <v>188</v>
      </c>
      <c r="D462" t="s">
        <v>228</v>
      </c>
      <c r="E462" t="s">
        <v>2023</v>
      </c>
      <c r="F462" t="s">
        <v>435</v>
      </c>
      <c r="G462" t="s">
        <v>2375</v>
      </c>
      <c r="H462" t="s">
        <v>2374</v>
      </c>
      <c r="I462" t="s">
        <v>2374</v>
      </c>
      <c r="J462" t="str">
        <f>IF(COUNTIF(Table5[Country],Table310[Country])&gt;0,"Y","N")</f>
        <v>N</v>
      </c>
      <c r="K462">
        <f>IF(Table310[[#This Row],[Adverse Media]]="Y",15,0)+IF(Table310[[#This Row],[PEP]]="Y",50,0)+IF(Table310[[#This Row],[Sanctions]]="Y",70,0)+IF(Table310[[#This Row],[High Risk Country]]="Y",25,0)</f>
        <v>15</v>
      </c>
      <c r="L462" t="str">
        <f>_xlfn.IFS(Table310[[#This Row],[Risk Score]]&gt;=85,"Critical",Table310[[#This Row],[Risk Score]]&gt;=65,"High",Table310[[#This Row],[Risk Score]]&gt;=45,"Medium",TRUE,"Low")</f>
        <v>Low</v>
      </c>
    </row>
    <row r="463" spans="1:12" x14ac:dyDescent="0.3">
      <c r="A463" t="s">
        <v>849</v>
      </c>
      <c r="B463" t="s">
        <v>1198</v>
      </c>
      <c r="C463" t="s">
        <v>188</v>
      </c>
      <c r="D463" t="s">
        <v>233</v>
      </c>
      <c r="E463" t="s">
        <v>1809</v>
      </c>
      <c r="F463" t="s">
        <v>2260</v>
      </c>
      <c r="G463" t="s">
        <v>2375</v>
      </c>
      <c r="H463" t="s">
        <v>2374</v>
      </c>
      <c r="I463" t="s">
        <v>2374</v>
      </c>
      <c r="J463" t="str">
        <f>IF(COUNTIF(Table5[Country],Table310[Country])&gt;0,"Y","N")</f>
        <v>N</v>
      </c>
      <c r="K463">
        <f>IF(Table310[[#This Row],[Adverse Media]]="Y",15,0)+IF(Table310[[#This Row],[PEP]]="Y",50,0)+IF(Table310[[#This Row],[Sanctions]]="Y",70,0)+IF(Table310[[#This Row],[High Risk Country]]="Y",25,0)</f>
        <v>15</v>
      </c>
      <c r="L463" t="str">
        <f>_xlfn.IFS(Table310[[#This Row],[Risk Score]]&gt;=85,"Critical",Table310[[#This Row],[Risk Score]]&gt;=65,"High",Table310[[#This Row],[Risk Score]]&gt;=45,"Medium",TRUE,"Low")</f>
        <v>Low</v>
      </c>
    </row>
    <row r="464" spans="1:12" x14ac:dyDescent="0.3">
      <c r="A464" t="s">
        <v>850</v>
      </c>
      <c r="B464" t="s">
        <v>1199</v>
      </c>
      <c r="C464" t="s">
        <v>188</v>
      </c>
      <c r="D464" t="s">
        <v>226</v>
      </c>
      <c r="E464" t="s">
        <v>2024</v>
      </c>
      <c r="F464" t="s">
        <v>2261</v>
      </c>
      <c r="G464" t="s">
        <v>2374</v>
      </c>
      <c r="H464" t="s">
        <v>2374</v>
      </c>
      <c r="I464" t="s">
        <v>2374</v>
      </c>
      <c r="J464" t="str">
        <f>IF(COUNTIF(Table5[Country],Table310[Country])&gt;0,"Y","N")</f>
        <v>N</v>
      </c>
      <c r="K464">
        <f>IF(Table310[[#This Row],[Adverse Media]]="Y",15,0)+IF(Table310[[#This Row],[PEP]]="Y",50,0)+IF(Table310[[#This Row],[Sanctions]]="Y",70,0)+IF(Table310[[#This Row],[High Risk Country]]="Y",25,0)</f>
        <v>0</v>
      </c>
      <c r="L464" t="str">
        <f>_xlfn.IFS(Table310[[#This Row],[Risk Score]]&gt;=85,"Critical",Table310[[#This Row],[Risk Score]]&gt;=65,"High",Table310[[#This Row],[Risk Score]]&gt;=45,"Medium",TRUE,"Low")</f>
        <v>Low</v>
      </c>
    </row>
    <row r="465" spans="1:12" x14ac:dyDescent="0.3">
      <c r="A465" t="s">
        <v>851</v>
      </c>
      <c r="B465" t="s">
        <v>1200</v>
      </c>
      <c r="C465" t="s">
        <v>188</v>
      </c>
      <c r="D465" t="s">
        <v>209</v>
      </c>
      <c r="E465" t="s">
        <v>2025</v>
      </c>
      <c r="F465" t="s">
        <v>2262</v>
      </c>
      <c r="G465" t="s">
        <v>2375</v>
      </c>
      <c r="H465" t="s">
        <v>2374</v>
      </c>
      <c r="I465" t="s">
        <v>2374</v>
      </c>
      <c r="J465" t="str">
        <f>IF(COUNTIF(Table5[Country],Table310[Country])&gt;0,"Y","N")</f>
        <v>N</v>
      </c>
      <c r="K465">
        <f>IF(Table310[[#This Row],[Adverse Media]]="Y",15,0)+IF(Table310[[#This Row],[PEP]]="Y",50,0)+IF(Table310[[#This Row],[Sanctions]]="Y",70,0)+IF(Table310[[#This Row],[High Risk Country]]="Y",25,0)</f>
        <v>15</v>
      </c>
      <c r="L465" t="str">
        <f>_xlfn.IFS(Table310[[#This Row],[Risk Score]]&gt;=85,"Critical",Table310[[#This Row],[Risk Score]]&gt;=65,"High",Table310[[#This Row],[Risk Score]]&gt;=45,"Medium",TRUE,"Low")</f>
        <v>Low</v>
      </c>
    </row>
    <row r="466" spans="1:12" x14ac:dyDescent="0.3">
      <c r="A466" t="s">
        <v>852</v>
      </c>
      <c r="B466" t="s">
        <v>1201</v>
      </c>
      <c r="C466" t="s">
        <v>188</v>
      </c>
      <c r="D466" t="s">
        <v>228</v>
      </c>
      <c r="E466" t="s">
        <v>2026</v>
      </c>
      <c r="F466" t="s">
        <v>2263</v>
      </c>
      <c r="G466" t="s">
        <v>2375</v>
      </c>
      <c r="H466" t="s">
        <v>2374</v>
      </c>
      <c r="I466" t="s">
        <v>2374</v>
      </c>
      <c r="J466" t="str">
        <f>IF(COUNTIF(Table5[Country],Table310[Country])&gt;0,"Y","N")</f>
        <v>N</v>
      </c>
      <c r="K466">
        <f>IF(Table310[[#This Row],[Adverse Media]]="Y",15,0)+IF(Table310[[#This Row],[PEP]]="Y",50,0)+IF(Table310[[#This Row],[Sanctions]]="Y",70,0)+IF(Table310[[#This Row],[High Risk Country]]="Y",25,0)</f>
        <v>15</v>
      </c>
      <c r="L466" t="str">
        <f>_xlfn.IFS(Table310[[#This Row],[Risk Score]]&gt;=85,"Critical",Table310[[#This Row],[Risk Score]]&gt;=65,"High",Table310[[#This Row],[Risk Score]]&gt;=45,"Medium",TRUE,"Low")</f>
        <v>Low</v>
      </c>
    </row>
    <row r="467" spans="1:12" x14ac:dyDescent="0.3">
      <c r="A467" t="s">
        <v>853</v>
      </c>
      <c r="B467" t="s">
        <v>1202</v>
      </c>
      <c r="C467" t="s">
        <v>188</v>
      </c>
      <c r="D467" t="s">
        <v>214</v>
      </c>
      <c r="E467" t="s">
        <v>2027</v>
      </c>
      <c r="F467" t="s">
        <v>2264</v>
      </c>
      <c r="G467" t="s">
        <v>2375</v>
      </c>
      <c r="H467" t="s">
        <v>2374</v>
      </c>
      <c r="I467" t="s">
        <v>2374</v>
      </c>
      <c r="J467" t="str">
        <f>IF(COUNTIF(Table5[Country],Table310[Country])&gt;0,"Y","N")</f>
        <v>N</v>
      </c>
      <c r="K467">
        <f>IF(Table310[[#This Row],[Adverse Media]]="Y",15,0)+IF(Table310[[#This Row],[PEP]]="Y",50,0)+IF(Table310[[#This Row],[Sanctions]]="Y",70,0)+IF(Table310[[#This Row],[High Risk Country]]="Y",25,0)</f>
        <v>15</v>
      </c>
      <c r="L467" t="str">
        <f>_xlfn.IFS(Table310[[#This Row],[Risk Score]]&gt;=85,"Critical",Table310[[#This Row],[Risk Score]]&gt;=65,"High",Table310[[#This Row],[Risk Score]]&gt;=45,"Medium",TRUE,"Low")</f>
        <v>Low</v>
      </c>
    </row>
    <row r="468" spans="1:12" x14ac:dyDescent="0.3">
      <c r="A468" t="s">
        <v>854</v>
      </c>
      <c r="B468" t="s">
        <v>1203</v>
      </c>
      <c r="C468" t="s">
        <v>188</v>
      </c>
      <c r="D468" t="s">
        <v>235</v>
      </c>
      <c r="E468" t="s">
        <v>2028</v>
      </c>
      <c r="F468" t="s">
        <v>541</v>
      </c>
      <c r="G468" t="s">
        <v>2375</v>
      </c>
      <c r="H468" t="s">
        <v>2374</v>
      </c>
      <c r="I468" t="s">
        <v>2374</v>
      </c>
      <c r="J468" t="str">
        <f>IF(COUNTIF(Table5[Country],Table310[Country])&gt;0,"Y","N")</f>
        <v>N</v>
      </c>
      <c r="K468">
        <f>IF(Table310[[#This Row],[Adverse Media]]="Y",15,0)+IF(Table310[[#This Row],[PEP]]="Y",50,0)+IF(Table310[[#This Row],[Sanctions]]="Y",70,0)+IF(Table310[[#This Row],[High Risk Country]]="Y",25,0)</f>
        <v>15</v>
      </c>
      <c r="L468" t="str">
        <f>_xlfn.IFS(Table310[[#This Row],[Risk Score]]&gt;=85,"Critical",Table310[[#This Row],[Risk Score]]&gt;=65,"High",Table310[[#This Row],[Risk Score]]&gt;=45,"Medium",TRUE,"Low")</f>
        <v>Low</v>
      </c>
    </row>
    <row r="469" spans="1:12" x14ac:dyDescent="0.3">
      <c r="A469" t="s">
        <v>855</v>
      </c>
      <c r="B469" t="s">
        <v>1204</v>
      </c>
      <c r="C469" t="s">
        <v>188</v>
      </c>
      <c r="D469" t="s">
        <v>198</v>
      </c>
      <c r="E469" t="s">
        <v>619</v>
      </c>
      <c r="F469" t="s">
        <v>501</v>
      </c>
      <c r="G469" t="s">
        <v>2374</v>
      </c>
      <c r="H469" t="s">
        <v>2374</v>
      </c>
      <c r="I469" t="s">
        <v>2374</v>
      </c>
      <c r="J469" t="str">
        <f>IF(COUNTIF(Table5[Country],Table310[Country])&gt;0,"Y","N")</f>
        <v>N</v>
      </c>
      <c r="K469">
        <f>IF(Table310[[#This Row],[Adverse Media]]="Y",15,0)+IF(Table310[[#This Row],[PEP]]="Y",50,0)+IF(Table310[[#This Row],[Sanctions]]="Y",70,0)+IF(Table310[[#This Row],[High Risk Country]]="Y",25,0)</f>
        <v>0</v>
      </c>
      <c r="L469" t="str">
        <f>_xlfn.IFS(Table310[[#This Row],[Risk Score]]&gt;=85,"Critical",Table310[[#This Row],[Risk Score]]&gt;=65,"High",Table310[[#This Row],[Risk Score]]&gt;=45,"Medium",TRUE,"Low")</f>
        <v>Low</v>
      </c>
    </row>
    <row r="470" spans="1:12" x14ac:dyDescent="0.3">
      <c r="A470" t="s">
        <v>856</v>
      </c>
      <c r="B470" t="s">
        <v>1205</v>
      </c>
      <c r="C470" t="s">
        <v>188</v>
      </c>
      <c r="D470" t="s">
        <v>226</v>
      </c>
      <c r="E470" t="s">
        <v>2029</v>
      </c>
      <c r="F470" t="s">
        <v>2265</v>
      </c>
      <c r="G470" t="s">
        <v>2374</v>
      </c>
      <c r="H470" t="s">
        <v>2374</v>
      </c>
      <c r="I470" t="s">
        <v>2374</v>
      </c>
      <c r="J470" t="str">
        <f>IF(COUNTIF(Table5[Country],Table310[Country])&gt;0,"Y","N")</f>
        <v>N</v>
      </c>
      <c r="K470">
        <f>IF(Table310[[#This Row],[Adverse Media]]="Y",15,0)+IF(Table310[[#This Row],[PEP]]="Y",50,0)+IF(Table310[[#This Row],[Sanctions]]="Y",70,0)+IF(Table310[[#This Row],[High Risk Country]]="Y",25,0)</f>
        <v>0</v>
      </c>
      <c r="L470" t="str">
        <f>_xlfn.IFS(Table310[[#This Row],[Risk Score]]&gt;=85,"Critical",Table310[[#This Row],[Risk Score]]&gt;=65,"High",Table310[[#This Row],[Risk Score]]&gt;=45,"Medium",TRUE,"Low")</f>
        <v>Low</v>
      </c>
    </row>
    <row r="471" spans="1:12" x14ac:dyDescent="0.3">
      <c r="A471" t="s">
        <v>857</v>
      </c>
      <c r="B471" t="s">
        <v>1206</v>
      </c>
      <c r="C471" t="s">
        <v>188</v>
      </c>
      <c r="D471" t="s">
        <v>218</v>
      </c>
      <c r="E471" t="s">
        <v>300</v>
      </c>
      <c r="F471" t="s">
        <v>2266</v>
      </c>
      <c r="G471" t="s">
        <v>2374</v>
      </c>
      <c r="H471" t="s">
        <v>2374</v>
      </c>
      <c r="I471" t="s">
        <v>2374</v>
      </c>
      <c r="J471" t="str">
        <f>IF(COUNTIF(Table5[Country],Table310[Country])&gt;0,"Y","N")</f>
        <v>N</v>
      </c>
      <c r="K471">
        <f>IF(Table310[[#This Row],[Adverse Media]]="Y",15,0)+IF(Table310[[#This Row],[PEP]]="Y",50,0)+IF(Table310[[#This Row],[Sanctions]]="Y",70,0)+IF(Table310[[#This Row],[High Risk Country]]="Y",25,0)</f>
        <v>0</v>
      </c>
      <c r="L471" t="str">
        <f>_xlfn.IFS(Table310[[#This Row],[Risk Score]]&gt;=85,"Critical",Table310[[#This Row],[Risk Score]]&gt;=65,"High",Table310[[#This Row],[Risk Score]]&gt;=45,"Medium",TRUE,"Low")</f>
        <v>Low</v>
      </c>
    </row>
    <row r="472" spans="1:12" x14ac:dyDescent="0.3">
      <c r="A472" t="s">
        <v>858</v>
      </c>
      <c r="B472" t="s">
        <v>1207</v>
      </c>
      <c r="C472" t="s">
        <v>188</v>
      </c>
      <c r="D472" t="s">
        <v>215</v>
      </c>
      <c r="E472" t="s">
        <v>2030</v>
      </c>
      <c r="F472" t="s">
        <v>2267</v>
      </c>
      <c r="G472" t="s">
        <v>2375</v>
      </c>
      <c r="H472" t="s">
        <v>2374</v>
      </c>
      <c r="I472" t="s">
        <v>2374</v>
      </c>
      <c r="J472" t="str">
        <f>IF(COUNTIF(Table5[Country],Table310[Country])&gt;0,"Y","N")</f>
        <v>Y</v>
      </c>
      <c r="K472">
        <f>IF(Table310[[#This Row],[Adverse Media]]="Y",15,0)+IF(Table310[[#This Row],[PEP]]="Y",50,0)+IF(Table310[[#This Row],[Sanctions]]="Y",70,0)+IF(Table310[[#This Row],[High Risk Country]]="Y",25,0)</f>
        <v>40</v>
      </c>
      <c r="L472" t="str">
        <f>_xlfn.IFS(Table310[[#This Row],[Risk Score]]&gt;=85,"Critical",Table310[[#This Row],[Risk Score]]&gt;=65,"High",Table310[[#This Row],[Risk Score]]&gt;=45,"Medium",TRUE,"Low")</f>
        <v>Low</v>
      </c>
    </row>
    <row r="473" spans="1:12" x14ac:dyDescent="0.3">
      <c r="A473" t="s">
        <v>859</v>
      </c>
      <c r="B473" t="s">
        <v>1208</v>
      </c>
      <c r="C473" t="s">
        <v>188</v>
      </c>
      <c r="D473" t="s">
        <v>227</v>
      </c>
      <c r="E473" t="s">
        <v>2031</v>
      </c>
      <c r="F473" t="s">
        <v>2268</v>
      </c>
      <c r="G473" t="s">
        <v>2375</v>
      </c>
      <c r="H473" t="s">
        <v>2374</v>
      </c>
      <c r="I473" t="s">
        <v>2374</v>
      </c>
      <c r="J473" t="str">
        <f>IF(COUNTIF(Table5[Country],Table310[Country])&gt;0,"Y","N")</f>
        <v>N</v>
      </c>
      <c r="K473">
        <f>IF(Table310[[#This Row],[Adverse Media]]="Y",15,0)+IF(Table310[[#This Row],[PEP]]="Y",50,0)+IF(Table310[[#This Row],[Sanctions]]="Y",70,0)+IF(Table310[[#This Row],[High Risk Country]]="Y",25,0)</f>
        <v>15</v>
      </c>
      <c r="L473" t="str">
        <f>_xlfn.IFS(Table310[[#This Row],[Risk Score]]&gt;=85,"Critical",Table310[[#This Row],[Risk Score]]&gt;=65,"High",Table310[[#This Row],[Risk Score]]&gt;=45,"Medium",TRUE,"Low")</f>
        <v>Low</v>
      </c>
    </row>
    <row r="474" spans="1:12" x14ac:dyDescent="0.3">
      <c r="A474" t="s">
        <v>860</v>
      </c>
      <c r="B474" t="s">
        <v>1209</v>
      </c>
      <c r="C474" t="s">
        <v>188</v>
      </c>
      <c r="D474" t="s">
        <v>239</v>
      </c>
      <c r="E474" t="s">
        <v>2032</v>
      </c>
      <c r="F474" t="s">
        <v>2018</v>
      </c>
      <c r="G474" t="s">
        <v>2374</v>
      </c>
      <c r="H474" t="s">
        <v>2374</v>
      </c>
      <c r="I474" t="s">
        <v>2374</v>
      </c>
      <c r="J474" t="str">
        <f>IF(COUNTIF(Table5[Country],Table310[Country])&gt;0,"Y","N")</f>
        <v>N</v>
      </c>
      <c r="K474">
        <f>IF(Table310[[#This Row],[Adverse Media]]="Y",15,0)+IF(Table310[[#This Row],[PEP]]="Y",50,0)+IF(Table310[[#This Row],[Sanctions]]="Y",70,0)+IF(Table310[[#This Row],[High Risk Country]]="Y",25,0)</f>
        <v>0</v>
      </c>
      <c r="L474" t="str">
        <f>_xlfn.IFS(Table310[[#This Row],[Risk Score]]&gt;=85,"Critical",Table310[[#This Row],[Risk Score]]&gt;=65,"High",Table310[[#This Row],[Risk Score]]&gt;=45,"Medium",TRUE,"Low")</f>
        <v>Low</v>
      </c>
    </row>
    <row r="475" spans="1:12" x14ac:dyDescent="0.3">
      <c r="A475" t="s">
        <v>861</v>
      </c>
      <c r="B475" t="s">
        <v>1210</v>
      </c>
      <c r="C475" t="s">
        <v>188</v>
      </c>
      <c r="D475" t="s">
        <v>196</v>
      </c>
      <c r="E475" t="s">
        <v>2033</v>
      </c>
      <c r="F475" t="s">
        <v>2269</v>
      </c>
      <c r="G475" t="s">
        <v>2374</v>
      </c>
      <c r="H475" t="s">
        <v>2374</v>
      </c>
      <c r="I475" t="s">
        <v>2374</v>
      </c>
      <c r="J475" t="str">
        <f>IF(COUNTIF(Table5[Country],Table310[Country])&gt;0,"Y","N")</f>
        <v>Y</v>
      </c>
      <c r="K475">
        <f>IF(Table310[[#This Row],[Adverse Media]]="Y",15,0)+IF(Table310[[#This Row],[PEP]]="Y",50,0)+IF(Table310[[#This Row],[Sanctions]]="Y",70,0)+IF(Table310[[#This Row],[High Risk Country]]="Y",25,0)</f>
        <v>25</v>
      </c>
      <c r="L475" t="str">
        <f>_xlfn.IFS(Table310[[#This Row],[Risk Score]]&gt;=85,"Critical",Table310[[#This Row],[Risk Score]]&gt;=65,"High",Table310[[#This Row],[Risk Score]]&gt;=45,"Medium",TRUE,"Low")</f>
        <v>Low</v>
      </c>
    </row>
    <row r="476" spans="1:12" x14ac:dyDescent="0.3">
      <c r="A476" t="s">
        <v>862</v>
      </c>
      <c r="B476" t="s">
        <v>1211</v>
      </c>
      <c r="C476" t="s">
        <v>188</v>
      </c>
      <c r="D476" t="s">
        <v>215</v>
      </c>
      <c r="E476" t="s">
        <v>2034</v>
      </c>
      <c r="F476" t="s">
        <v>2270</v>
      </c>
      <c r="G476" t="s">
        <v>2375</v>
      </c>
      <c r="H476" t="s">
        <v>2374</v>
      </c>
      <c r="I476" t="s">
        <v>2374</v>
      </c>
      <c r="J476" t="str">
        <f>IF(COUNTIF(Table5[Country],Table310[Country])&gt;0,"Y","N")</f>
        <v>Y</v>
      </c>
      <c r="K476">
        <f>IF(Table310[[#This Row],[Adverse Media]]="Y",15,0)+IF(Table310[[#This Row],[PEP]]="Y",50,0)+IF(Table310[[#This Row],[Sanctions]]="Y",70,0)+IF(Table310[[#This Row],[High Risk Country]]="Y",25,0)</f>
        <v>40</v>
      </c>
      <c r="L476" t="str">
        <f>_xlfn.IFS(Table310[[#This Row],[Risk Score]]&gt;=85,"Critical",Table310[[#This Row],[Risk Score]]&gt;=65,"High",Table310[[#This Row],[Risk Score]]&gt;=45,"Medium",TRUE,"Low")</f>
        <v>Low</v>
      </c>
    </row>
    <row r="477" spans="1:12" x14ac:dyDescent="0.3">
      <c r="A477" t="s">
        <v>863</v>
      </c>
      <c r="B477" t="s">
        <v>1212</v>
      </c>
      <c r="C477" t="s">
        <v>188</v>
      </c>
      <c r="D477" t="s">
        <v>206</v>
      </c>
      <c r="E477" t="s">
        <v>2035</v>
      </c>
      <c r="F477" t="s">
        <v>2271</v>
      </c>
      <c r="G477" t="s">
        <v>2374</v>
      </c>
      <c r="H477" t="s">
        <v>2374</v>
      </c>
      <c r="I477" t="s">
        <v>2374</v>
      </c>
      <c r="J477" t="str">
        <f>IF(COUNTIF(Table5[Country],Table310[Country])&gt;0,"Y","N")</f>
        <v>Y</v>
      </c>
      <c r="K477">
        <f>IF(Table310[[#This Row],[Adverse Media]]="Y",15,0)+IF(Table310[[#This Row],[PEP]]="Y",50,0)+IF(Table310[[#This Row],[Sanctions]]="Y",70,0)+IF(Table310[[#This Row],[High Risk Country]]="Y",25,0)</f>
        <v>25</v>
      </c>
      <c r="L477" t="str">
        <f>_xlfn.IFS(Table310[[#This Row],[Risk Score]]&gt;=85,"Critical",Table310[[#This Row],[Risk Score]]&gt;=65,"High",Table310[[#This Row],[Risk Score]]&gt;=45,"Medium",TRUE,"Low")</f>
        <v>Low</v>
      </c>
    </row>
    <row r="478" spans="1:12" x14ac:dyDescent="0.3">
      <c r="A478" t="s">
        <v>864</v>
      </c>
      <c r="B478" t="s">
        <v>1213</v>
      </c>
      <c r="C478" t="s">
        <v>188</v>
      </c>
      <c r="D478" t="s">
        <v>240</v>
      </c>
      <c r="E478" t="s">
        <v>396</v>
      </c>
      <c r="F478" t="s">
        <v>306</v>
      </c>
      <c r="G478" t="s">
        <v>2375</v>
      </c>
      <c r="H478" t="s">
        <v>2374</v>
      </c>
      <c r="I478" t="s">
        <v>2374</v>
      </c>
      <c r="J478" t="str">
        <f>IF(COUNTIF(Table5[Country],Table310[Country])&gt;0,"Y","N")</f>
        <v>N</v>
      </c>
      <c r="K478">
        <f>IF(Table310[[#This Row],[Adverse Media]]="Y",15,0)+IF(Table310[[#This Row],[PEP]]="Y",50,0)+IF(Table310[[#This Row],[Sanctions]]="Y",70,0)+IF(Table310[[#This Row],[High Risk Country]]="Y",25,0)</f>
        <v>15</v>
      </c>
      <c r="L478" t="str">
        <f>_xlfn.IFS(Table310[[#This Row],[Risk Score]]&gt;=85,"Critical",Table310[[#This Row],[Risk Score]]&gt;=65,"High",Table310[[#This Row],[Risk Score]]&gt;=45,"Medium",TRUE,"Low")</f>
        <v>Low</v>
      </c>
    </row>
    <row r="479" spans="1:12" x14ac:dyDescent="0.3">
      <c r="A479" t="s">
        <v>865</v>
      </c>
      <c r="B479" t="s">
        <v>1214</v>
      </c>
      <c r="C479" t="s">
        <v>188</v>
      </c>
      <c r="D479" t="s">
        <v>222</v>
      </c>
      <c r="E479" t="s">
        <v>2036</v>
      </c>
      <c r="F479" t="s">
        <v>2050</v>
      </c>
      <c r="G479" t="s">
        <v>2375</v>
      </c>
      <c r="H479" t="s">
        <v>2374</v>
      </c>
      <c r="I479" t="s">
        <v>2374</v>
      </c>
      <c r="J479" t="str">
        <f>IF(COUNTIF(Table5[Country],Table310[Country])&gt;0,"Y","N")</f>
        <v>N</v>
      </c>
      <c r="K479">
        <f>IF(Table310[[#This Row],[Adverse Media]]="Y",15,0)+IF(Table310[[#This Row],[PEP]]="Y",50,0)+IF(Table310[[#This Row],[Sanctions]]="Y",70,0)+IF(Table310[[#This Row],[High Risk Country]]="Y",25,0)</f>
        <v>15</v>
      </c>
      <c r="L479" t="str">
        <f>_xlfn.IFS(Table310[[#This Row],[Risk Score]]&gt;=85,"Critical",Table310[[#This Row],[Risk Score]]&gt;=65,"High",Table310[[#This Row],[Risk Score]]&gt;=45,"Medium",TRUE,"Low")</f>
        <v>Low</v>
      </c>
    </row>
    <row r="480" spans="1:12" x14ac:dyDescent="0.3">
      <c r="A480" t="s">
        <v>866</v>
      </c>
      <c r="B480" t="s">
        <v>1215</v>
      </c>
      <c r="C480" t="s">
        <v>188</v>
      </c>
      <c r="D480" t="s">
        <v>226</v>
      </c>
      <c r="E480" t="s">
        <v>404</v>
      </c>
      <c r="F480" t="s">
        <v>415</v>
      </c>
      <c r="G480" t="s">
        <v>2375</v>
      </c>
      <c r="H480" t="s">
        <v>2374</v>
      </c>
      <c r="I480" t="s">
        <v>2374</v>
      </c>
      <c r="J480" t="str">
        <f>IF(COUNTIF(Table5[Country],Table310[Country])&gt;0,"Y","N")</f>
        <v>N</v>
      </c>
      <c r="K480">
        <f>IF(Table310[[#This Row],[Adverse Media]]="Y",15,0)+IF(Table310[[#This Row],[PEP]]="Y",50,0)+IF(Table310[[#This Row],[Sanctions]]="Y",70,0)+IF(Table310[[#This Row],[High Risk Country]]="Y",25,0)</f>
        <v>15</v>
      </c>
      <c r="L480" t="str">
        <f>_xlfn.IFS(Table310[[#This Row],[Risk Score]]&gt;=85,"Critical",Table310[[#This Row],[Risk Score]]&gt;=65,"High",Table310[[#This Row],[Risk Score]]&gt;=45,"Medium",TRUE,"Low")</f>
        <v>Low</v>
      </c>
    </row>
    <row r="481" spans="1:12" x14ac:dyDescent="0.3">
      <c r="A481" t="s">
        <v>867</v>
      </c>
      <c r="B481" t="s">
        <v>1216</v>
      </c>
      <c r="C481" t="s">
        <v>188</v>
      </c>
      <c r="D481" t="s">
        <v>230</v>
      </c>
      <c r="E481" t="s">
        <v>466</v>
      </c>
      <c r="F481" t="s">
        <v>609</v>
      </c>
      <c r="G481" t="s">
        <v>2374</v>
      </c>
      <c r="H481" t="s">
        <v>2374</v>
      </c>
      <c r="I481" t="s">
        <v>2374</v>
      </c>
      <c r="J481" t="str">
        <f>IF(COUNTIF(Table5[Country],Table310[Country])&gt;0,"Y","N")</f>
        <v>N</v>
      </c>
      <c r="K481">
        <f>IF(Table310[[#This Row],[Adverse Media]]="Y",15,0)+IF(Table310[[#This Row],[PEP]]="Y",50,0)+IF(Table310[[#This Row],[Sanctions]]="Y",70,0)+IF(Table310[[#This Row],[High Risk Country]]="Y",25,0)</f>
        <v>0</v>
      </c>
      <c r="L481" t="str">
        <f>_xlfn.IFS(Table310[[#This Row],[Risk Score]]&gt;=85,"Critical",Table310[[#This Row],[Risk Score]]&gt;=65,"High",Table310[[#This Row],[Risk Score]]&gt;=45,"Medium",TRUE,"Low")</f>
        <v>Low</v>
      </c>
    </row>
    <row r="482" spans="1:12" x14ac:dyDescent="0.3">
      <c r="A482" t="s">
        <v>868</v>
      </c>
      <c r="B482" t="s">
        <v>1217</v>
      </c>
      <c r="C482" t="s">
        <v>188</v>
      </c>
      <c r="D482" t="s">
        <v>191</v>
      </c>
      <c r="E482" t="s">
        <v>305</v>
      </c>
      <c r="F482" t="s">
        <v>2272</v>
      </c>
      <c r="G482" t="s">
        <v>2374</v>
      </c>
      <c r="H482" t="s">
        <v>2374</v>
      </c>
      <c r="I482" t="s">
        <v>2374</v>
      </c>
      <c r="J482" t="str">
        <f>IF(COUNTIF(Table5[Country],Table310[Country])&gt;0,"Y","N")</f>
        <v>N</v>
      </c>
      <c r="K482">
        <f>IF(Table310[[#This Row],[Adverse Media]]="Y",15,0)+IF(Table310[[#This Row],[PEP]]="Y",50,0)+IF(Table310[[#This Row],[Sanctions]]="Y",70,0)+IF(Table310[[#This Row],[High Risk Country]]="Y",25,0)</f>
        <v>0</v>
      </c>
      <c r="L482" t="str">
        <f>_xlfn.IFS(Table310[[#This Row],[Risk Score]]&gt;=85,"Critical",Table310[[#This Row],[Risk Score]]&gt;=65,"High",Table310[[#This Row],[Risk Score]]&gt;=45,"Medium",TRUE,"Low")</f>
        <v>Low</v>
      </c>
    </row>
    <row r="483" spans="1:12" x14ac:dyDescent="0.3">
      <c r="A483" t="s">
        <v>869</v>
      </c>
      <c r="B483" t="s">
        <v>1218</v>
      </c>
      <c r="C483" t="s">
        <v>188</v>
      </c>
      <c r="D483" t="s">
        <v>190</v>
      </c>
      <c r="E483" t="s">
        <v>2037</v>
      </c>
      <c r="F483" t="s">
        <v>1991</v>
      </c>
      <c r="G483" t="s">
        <v>2374</v>
      </c>
      <c r="H483" t="s">
        <v>2375</v>
      </c>
      <c r="I483" t="s">
        <v>2375</v>
      </c>
      <c r="J483" t="str">
        <f>IF(COUNTIF(Table5[Country],Table310[Country])&gt;0,"Y","N")</f>
        <v>N</v>
      </c>
      <c r="K483">
        <f>IF(Table310[[#This Row],[Adverse Media]]="Y",15,0)+IF(Table310[[#This Row],[PEP]]="Y",50,0)+IF(Table310[[#This Row],[Sanctions]]="Y",70,0)+IF(Table310[[#This Row],[High Risk Country]]="Y",25,0)</f>
        <v>120</v>
      </c>
      <c r="L483" t="str">
        <f>_xlfn.IFS(Table310[[#This Row],[Risk Score]]&gt;=85,"Critical",Table310[[#This Row],[Risk Score]]&gt;=65,"High",Table310[[#This Row],[Risk Score]]&gt;=45,"Medium",TRUE,"Low")</f>
        <v>Critical</v>
      </c>
    </row>
    <row r="484" spans="1:12" x14ac:dyDescent="0.3">
      <c r="A484" t="s">
        <v>870</v>
      </c>
      <c r="B484" t="s">
        <v>186</v>
      </c>
      <c r="C484" t="s">
        <v>188</v>
      </c>
      <c r="D484" t="s">
        <v>216</v>
      </c>
      <c r="E484" t="s">
        <v>412</v>
      </c>
      <c r="F484" t="s">
        <v>2273</v>
      </c>
      <c r="G484" t="s">
        <v>2375</v>
      </c>
      <c r="H484" t="s">
        <v>2374</v>
      </c>
      <c r="I484" t="s">
        <v>2374</v>
      </c>
      <c r="J484" t="str">
        <f>IF(COUNTIF(Table5[Country],Table310[Country])&gt;0,"Y","N")</f>
        <v>N</v>
      </c>
      <c r="K484">
        <f>IF(Table310[[#This Row],[Adverse Media]]="Y",15,0)+IF(Table310[[#This Row],[PEP]]="Y",50,0)+IF(Table310[[#This Row],[Sanctions]]="Y",70,0)+IF(Table310[[#This Row],[High Risk Country]]="Y",25,0)</f>
        <v>15</v>
      </c>
      <c r="L484" t="str">
        <f>_xlfn.IFS(Table310[[#This Row],[Risk Score]]&gt;=85,"Critical",Table310[[#This Row],[Risk Score]]&gt;=65,"High",Table310[[#This Row],[Risk Score]]&gt;=45,"Medium",TRUE,"Low")</f>
        <v>Low</v>
      </c>
    </row>
    <row r="485" spans="1:12" x14ac:dyDescent="0.3">
      <c r="A485" t="s">
        <v>871</v>
      </c>
      <c r="B485" t="s">
        <v>1219</v>
      </c>
      <c r="C485" t="s">
        <v>188</v>
      </c>
      <c r="D485" t="s">
        <v>230</v>
      </c>
      <c r="E485" t="s">
        <v>2038</v>
      </c>
      <c r="F485" t="s">
        <v>598</v>
      </c>
      <c r="G485" t="s">
        <v>2374</v>
      </c>
      <c r="H485" t="s">
        <v>2374</v>
      </c>
      <c r="I485" t="s">
        <v>2375</v>
      </c>
      <c r="J485" t="str">
        <f>IF(COUNTIF(Table5[Country],Table310[Country])&gt;0,"Y","N")</f>
        <v>N</v>
      </c>
      <c r="K485">
        <f>IF(Table310[[#This Row],[Adverse Media]]="Y",15,0)+IF(Table310[[#This Row],[PEP]]="Y",50,0)+IF(Table310[[#This Row],[Sanctions]]="Y",70,0)+IF(Table310[[#This Row],[High Risk Country]]="Y",25,0)</f>
        <v>70</v>
      </c>
      <c r="L485" t="str">
        <f>_xlfn.IFS(Table310[[#This Row],[Risk Score]]&gt;=85,"Critical",Table310[[#This Row],[Risk Score]]&gt;=65,"High",Table310[[#This Row],[Risk Score]]&gt;=45,"Medium",TRUE,"Low")</f>
        <v>High</v>
      </c>
    </row>
    <row r="486" spans="1:12" x14ac:dyDescent="0.3">
      <c r="A486" t="s">
        <v>872</v>
      </c>
      <c r="B486" t="s">
        <v>1162</v>
      </c>
      <c r="C486" t="s">
        <v>188</v>
      </c>
      <c r="D486" t="s">
        <v>203</v>
      </c>
      <c r="E486" t="s">
        <v>2039</v>
      </c>
      <c r="F486" t="s">
        <v>2274</v>
      </c>
      <c r="G486" t="s">
        <v>2374</v>
      </c>
      <c r="H486" t="s">
        <v>2375</v>
      </c>
      <c r="I486" t="s">
        <v>2375</v>
      </c>
      <c r="J486" t="str">
        <f>IF(COUNTIF(Table5[Country],Table310[Country])&gt;0,"Y","N")</f>
        <v>Y</v>
      </c>
      <c r="K486">
        <f>IF(Table310[[#This Row],[Adverse Media]]="Y",15,0)+IF(Table310[[#This Row],[PEP]]="Y",50,0)+IF(Table310[[#This Row],[Sanctions]]="Y",70,0)+IF(Table310[[#This Row],[High Risk Country]]="Y",25,0)</f>
        <v>145</v>
      </c>
      <c r="L486" t="str">
        <f>_xlfn.IFS(Table310[[#This Row],[Risk Score]]&gt;=85,"Critical",Table310[[#This Row],[Risk Score]]&gt;=65,"High",Table310[[#This Row],[Risk Score]]&gt;=45,"Medium",TRUE,"Low")</f>
        <v>Critical</v>
      </c>
    </row>
    <row r="487" spans="1:12" x14ac:dyDescent="0.3">
      <c r="A487" t="s">
        <v>873</v>
      </c>
      <c r="B487" t="s">
        <v>1220</v>
      </c>
      <c r="C487" t="s">
        <v>188</v>
      </c>
      <c r="D487" t="s">
        <v>223</v>
      </c>
      <c r="E487" t="s">
        <v>2040</v>
      </c>
      <c r="F487" t="s">
        <v>2275</v>
      </c>
      <c r="G487" t="s">
        <v>2375</v>
      </c>
      <c r="H487" t="s">
        <v>2374</v>
      </c>
      <c r="I487" t="s">
        <v>2374</v>
      </c>
      <c r="J487" t="str">
        <f>IF(COUNTIF(Table5[Country],Table310[Country])&gt;0,"Y","N")</f>
        <v>N</v>
      </c>
      <c r="K487">
        <f>IF(Table310[[#This Row],[Adverse Media]]="Y",15,0)+IF(Table310[[#This Row],[PEP]]="Y",50,0)+IF(Table310[[#This Row],[Sanctions]]="Y",70,0)+IF(Table310[[#This Row],[High Risk Country]]="Y",25,0)</f>
        <v>15</v>
      </c>
      <c r="L487" t="str">
        <f>_xlfn.IFS(Table310[[#This Row],[Risk Score]]&gt;=85,"Critical",Table310[[#This Row],[Risk Score]]&gt;=65,"High",Table310[[#This Row],[Risk Score]]&gt;=45,"Medium",TRUE,"Low")</f>
        <v>Low</v>
      </c>
    </row>
    <row r="488" spans="1:12" x14ac:dyDescent="0.3">
      <c r="A488" t="s">
        <v>874</v>
      </c>
      <c r="B488" t="s">
        <v>1221</v>
      </c>
      <c r="C488" t="s">
        <v>188</v>
      </c>
      <c r="D488" t="s">
        <v>223</v>
      </c>
      <c r="E488" t="s">
        <v>1875</v>
      </c>
      <c r="F488" t="s">
        <v>641</v>
      </c>
      <c r="G488" t="s">
        <v>2375</v>
      </c>
      <c r="H488" t="s">
        <v>2375</v>
      </c>
      <c r="I488" t="s">
        <v>2374</v>
      </c>
      <c r="J488" t="str">
        <f>IF(COUNTIF(Table5[Country],Table310[Country])&gt;0,"Y","N")</f>
        <v>N</v>
      </c>
      <c r="K488">
        <f>IF(Table310[[#This Row],[Adverse Media]]="Y",15,0)+IF(Table310[[#This Row],[PEP]]="Y",50,0)+IF(Table310[[#This Row],[Sanctions]]="Y",70,0)+IF(Table310[[#This Row],[High Risk Country]]="Y",25,0)</f>
        <v>65</v>
      </c>
      <c r="L488" t="str">
        <f>_xlfn.IFS(Table310[[#This Row],[Risk Score]]&gt;=85,"Critical",Table310[[#This Row],[Risk Score]]&gt;=65,"High",Table310[[#This Row],[Risk Score]]&gt;=45,"Medium",TRUE,"Low")</f>
        <v>High</v>
      </c>
    </row>
    <row r="489" spans="1:12" x14ac:dyDescent="0.3">
      <c r="A489" t="s">
        <v>875</v>
      </c>
      <c r="B489" t="s">
        <v>1222</v>
      </c>
      <c r="C489" t="s">
        <v>188</v>
      </c>
      <c r="D489" t="s">
        <v>223</v>
      </c>
      <c r="E489" t="s">
        <v>301</v>
      </c>
      <c r="F489" t="s">
        <v>2276</v>
      </c>
      <c r="G489" t="s">
        <v>2375</v>
      </c>
      <c r="H489" t="s">
        <v>2375</v>
      </c>
      <c r="I489" t="s">
        <v>2374</v>
      </c>
      <c r="J489" t="str">
        <f>IF(COUNTIF(Table5[Country],Table310[Country])&gt;0,"Y","N")</f>
        <v>N</v>
      </c>
      <c r="K489">
        <f>IF(Table310[[#This Row],[Adverse Media]]="Y",15,0)+IF(Table310[[#This Row],[PEP]]="Y",50,0)+IF(Table310[[#This Row],[Sanctions]]="Y",70,0)+IF(Table310[[#This Row],[High Risk Country]]="Y",25,0)</f>
        <v>65</v>
      </c>
      <c r="L489" t="str">
        <f>_xlfn.IFS(Table310[[#This Row],[Risk Score]]&gt;=85,"Critical",Table310[[#This Row],[Risk Score]]&gt;=65,"High",Table310[[#This Row],[Risk Score]]&gt;=45,"Medium",TRUE,"Low")</f>
        <v>High</v>
      </c>
    </row>
    <row r="490" spans="1:12" x14ac:dyDescent="0.3">
      <c r="A490" t="s">
        <v>876</v>
      </c>
      <c r="B490" t="s">
        <v>1223</v>
      </c>
      <c r="C490" t="s">
        <v>188</v>
      </c>
      <c r="D490" t="s">
        <v>237</v>
      </c>
      <c r="E490" t="s">
        <v>347</v>
      </c>
      <c r="F490" t="s">
        <v>2277</v>
      </c>
      <c r="G490" t="s">
        <v>2374</v>
      </c>
      <c r="H490" t="s">
        <v>2374</v>
      </c>
      <c r="I490" t="s">
        <v>2374</v>
      </c>
      <c r="J490" t="str">
        <f>IF(COUNTIF(Table5[Country],Table310[Country])&gt;0,"Y","N")</f>
        <v>Y</v>
      </c>
      <c r="K490">
        <f>IF(Table310[[#This Row],[Adverse Media]]="Y",15,0)+IF(Table310[[#This Row],[PEP]]="Y",50,0)+IF(Table310[[#This Row],[Sanctions]]="Y",70,0)+IF(Table310[[#This Row],[High Risk Country]]="Y",25,0)</f>
        <v>25</v>
      </c>
      <c r="L490" t="str">
        <f>_xlfn.IFS(Table310[[#This Row],[Risk Score]]&gt;=85,"Critical",Table310[[#This Row],[Risk Score]]&gt;=65,"High",Table310[[#This Row],[Risk Score]]&gt;=45,"Medium",TRUE,"Low")</f>
        <v>Low</v>
      </c>
    </row>
    <row r="491" spans="1:12" x14ac:dyDescent="0.3">
      <c r="A491" t="s">
        <v>877</v>
      </c>
      <c r="B491" t="s">
        <v>1224</v>
      </c>
      <c r="C491" t="s">
        <v>188</v>
      </c>
      <c r="D491" t="s">
        <v>198</v>
      </c>
      <c r="E491" t="s">
        <v>652</v>
      </c>
      <c r="F491" t="s">
        <v>2278</v>
      </c>
      <c r="G491" t="s">
        <v>2375</v>
      </c>
      <c r="H491" t="s">
        <v>2374</v>
      </c>
      <c r="I491" t="s">
        <v>2374</v>
      </c>
      <c r="J491" t="str">
        <f>IF(COUNTIF(Table5[Country],Table310[Country])&gt;0,"Y","N")</f>
        <v>N</v>
      </c>
      <c r="K491">
        <f>IF(Table310[[#This Row],[Adverse Media]]="Y",15,0)+IF(Table310[[#This Row],[PEP]]="Y",50,0)+IF(Table310[[#This Row],[Sanctions]]="Y",70,0)+IF(Table310[[#This Row],[High Risk Country]]="Y",25,0)</f>
        <v>15</v>
      </c>
      <c r="L491" t="str">
        <f>_xlfn.IFS(Table310[[#This Row],[Risk Score]]&gt;=85,"Critical",Table310[[#This Row],[Risk Score]]&gt;=65,"High",Table310[[#This Row],[Risk Score]]&gt;=45,"Medium",TRUE,"Low")</f>
        <v>Low</v>
      </c>
    </row>
    <row r="492" spans="1:12" x14ac:dyDescent="0.3">
      <c r="A492" t="s">
        <v>878</v>
      </c>
      <c r="B492" t="s">
        <v>1225</v>
      </c>
      <c r="C492" t="s">
        <v>188</v>
      </c>
      <c r="D492" t="s">
        <v>201</v>
      </c>
      <c r="E492" t="s">
        <v>2041</v>
      </c>
      <c r="F492" t="s">
        <v>2279</v>
      </c>
      <c r="G492" t="s">
        <v>2374</v>
      </c>
      <c r="H492" t="s">
        <v>2375</v>
      </c>
      <c r="I492" t="s">
        <v>2374</v>
      </c>
      <c r="J492" t="str">
        <f>IF(COUNTIF(Table5[Country],Table310[Country])&gt;0,"Y","N")</f>
        <v>N</v>
      </c>
      <c r="K492">
        <f>IF(Table310[[#This Row],[Adverse Media]]="Y",15,0)+IF(Table310[[#This Row],[PEP]]="Y",50,0)+IF(Table310[[#This Row],[Sanctions]]="Y",70,0)+IF(Table310[[#This Row],[High Risk Country]]="Y",25,0)</f>
        <v>50</v>
      </c>
      <c r="L492" t="str">
        <f>_xlfn.IFS(Table310[[#This Row],[Risk Score]]&gt;=85,"Critical",Table310[[#This Row],[Risk Score]]&gt;=65,"High",Table310[[#This Row],[Risk Score]]&gt;=45,"Medium",TRUE,"Low")</f>
        <v>Medium</v>
      </c>
    </row>
    <row r="493" spans="1:12" x14ac:dyDescent="0.3">
      <c r="A493" t="s">
        <v>879</v>
      </c>
      <c r="B493" t="s">
        <v>1226</v>
      </c>
      <c r="C493" t="s">
        <v>188</v>
      </c>
      <c r="D493" t="s">
        <v>226</v>
      </c>
      <c r="E493" t="s">
        <v>2042</v>
      </c>
      <c r="F493" t="s">
        <v>2280</v>
      </c>
      <c r="G493" t="s">
        <v>2375</v>
      </c>
      <c r="H493" t="s">
        <v>2374</v>
      </c>
      <c r="I493" t="s">
        <v>2374</v>
      </c>
      <c r="J493" t="str">
        <f>IF(COUNTIF(Table5[Country],Table310[Country])&gt;0,"Y","N")</f>
        <v>N</v>
      </c>
      <c r="K493">
        <f>IF(Table310[[#This Row],[Adverse Media]]="Y",15,0)+IF(Table310[[#This Row],[PEP]]="Y",50,0)+IF(Table310[[#This Row],[Sanctions]]="Y",70,0)+IF(Table310[[#This Row],[High Risk Country]]="Y",25,0)</f>
        <v>15</v>
      </c>
      <c r="L493" t="str">
        <f>_xlfn.IFS(Table310[[#This Row],[Risk Score]]&gt;=85,"Critical",Table310[[#This Row],[Risk Score]]&gt;=65,"High",Table310[[#This Row],[Risk Score]]&gt;=45,"Medium",TRUE,"Low")</f>
        <v>Low</v>
      </c>
    </row>
    <row r="494" spans="1:12" x14ac:dyDescent="0.3">
      <c r="A494" t="s">
        <v>880</v>
      </c>
      <c r="B494" t="s">
        <v>1227</v>
      </c>
      <c r="C494" t="s">
        <v>188</v>
      </c>
      <c r="D494" t="s">
        <v>196</v>
      </c>
      <c r="E494" t="s">
        <v>674</v>
      </c>
      <c r="F494" t="s">
        <v>651</v>
      </c>
      <c r="G494" t="s">
        <v>2375</v>
      </c>
      <c r="H494" t="s">
        <v>2375</v>
      </c>
      <c r="I494" t="s">
        <v>2374</v>
      </c>
      <c r="J494" t="str">
        <f>IF(COUNTIF(Table5[Country],Table310[Country])&gt;0,"Y","N")</f>
        <v>Y</v>
      </c>
      <c r="K494">
        <f>IF(Table310[[#This Row],[Adverse Media]]="Y",15,0)+IF(Table310[[#This Row],[PEP]]="Y",50,0)+IF(Table310[[#This Row],[Sanctions]]="Y",70,0)+IF(Table310[[#This Row],[High Risk Country]]="Y",25,0)</f>
        <v>90</v>
      </c>
      <c r="L494" t="str">
        <f>_xlfn.IFS(Table310[[#This Row],[Risk Score]]&gt;=85,"Critical",Table310[[#This Row],[Risk Score]]&gt;=65,"High",Table310[[#This Row],[Risk Score]]&gt;=45,"Medium",TRUE,"Low")</f>
        <v>Critical</v>
      </c>
    </row>
    <row r="495" spans="1:12" x14ac:dyDescent="0.3">
      <c r="A495" t="s">
        <v>881</v>
      </c>
      <c r="B495" t="s">
        <v>1228</v>
      </c>
      <c r="C495" t="s">
        <v>188</v>
      </c>
      <c r="D495" t="s">
        <v>246</v>
      </c>
      <c r="E495" t="s">
        <v>2043</v>
      </c>
      <c r="F495" t="s">
        <v>656</v>
      </c>
      <c r="G495" t="s">
        <v>2375</v>
      </c>
      <c r="H495" t="s">
        <v>2375</v>
      </c>
      <c r="I495" t="s">
        <v>2375</v>
      </c>
      <c r="J495" t="str">
        <f>IF(COUNTIF(Table5[Country],Table310[Country])&gt;0,"Y","N")</f>
        <v>N</v>
      </c>
      <c r="K495">
        <f>IF(Table310[[#This Row],[Adverse Media]]="Y",15,0)+IF(Table310[[#This Row],[PEP]]="Y",50,0)+IF(Table310[[#This Row],[Sanctions]]="Y",70,0)+IF(Table310[[#This Row],[High Risk Country]]="Y",25,0)</f>
        <v>135</v>
      </c>
      <c r="L495" t="str">
        <f>_xlfn.IFS(Table310[[#This Row],[Risk Score]]&gt;=85,"Critical",Table310[[#This Row],[Risk Score]]&gt;=65,"High",Table310[[#This Row],[Risk Score]]&gt;=45,"Medium",TRUE,"Low")</f>
        <v>Critical</v>
      </c>
    </row>
    <row r="496" spans="1:12" x14ac:dyDescent="0.3">
      <c r="A496" t="s">
        <v>882</v>
      </c>
      <c r="B496" t="s">
        <v>1229</v>
      </c>
      <c r="C496" t="s">
        <v>188</v>
      </c>
      <c r="D496" t="s">
        <v>204</v>
      </c>
      <c r="E496" t="s">
        <v>2044</v>
      </c>
      <c r="F496" t="s">
        <v>2171</v>
      </c>
      <c r="G496" t="s">
        <v>2375</v>
      </c>
      <c r="H496" t="s">
        <v>2375</v>
      </c>
      <c r="I496" t="s">
        <v>2374</v>
      </c>
      <c r="J496" t="str">
        <f>IF(COUNTIF(Table5[Country],Table310[Country])&gt;0,"Y","N")</f>
        <v>Y</v>
      </c>
      <c r="K496">
        <f>IF(Table310[[#This Row],[Adverse Media]]="Y",15,0)+IF(Table310[[#This Row],[PEP]]="Y",50,0)+IF(Table310[[#This Row],[Sanctions]]="Y",70,0)+IF(Table310[[#This Row],[High Risk Country]]="Y",25,0)</f>
        <v>90</v>
      </c>
      <c r="L496" t="str">
        <f>_xlfn.IFS(Table310[[#This Row],[Risk Score]]&gt;=85,"Critical",Table310[[#This Row],[Risk Score]]&gt;=65,"High",Table310[[#This Row],[Risk Score]]&gt;=45,"Medium",TRUE,"Low")</f>
        <v>Critical</v>
      </c>
    </row>
    <row r="497" spans="1:12" x14ac:dyDescent="0.3">
      <c r="A497" t="s">
        <v>883</v>
      </c>
      <c r="B497" t="s">
        <v>1230</v>
      </c>
      <c r="C497" t="s">
        <v>188</v>
      </c>
      <c r="D497" t="s">
        <v>199</v>
      </c>
      <c r="E497" t="s">
        <v>2045</v>
      </c>
      <c r="F497" t="s">
        <v>288</v>
      </c>
      <c r="G497" t="s">
        <v>2375</v>
      </c>
      <c r="H497" t="s">
        <v>2375</v>
      </c>
      <c r="I497" t="s">
        <v>2375</v>
      </c>
      <c r="J497" t="str">
        <f>IF(COUNTIF(Table5[Country],Table310[Country])&gt;0,"Y","N")</f>
        <v>N</v>
      </c>
      <c r="K497">
        <f>IF(Table310[[#This Row],[Adverse Media]]="Y",15,0)+IF(Table310[[#This Row],[PEP]]="Y",50,0)+IF(Table310[[#This Row],[Sanctions]]="Y",70,0)+IF(Table310[[#This Row],[High Risk Country]]="Y",25,0)</f>
        <v>135</v>
      </c>
      <c r="L497" t="str">
        <f>_xlfn.IFS(Table310[[#This Row],[Risk Score]]&gt;=85,"Critical",Table310[[#This Row],[Risk Score]]&gt;=65,"High",Table310[[#This Row],[Risk Score]]&gt;=45,"Medium",TRUE,"Low")</f>
        <v>Critical</v>
      </c>
    </row>
    <row r="498" spans="1:12" x14ac:dyDescent="0.3">
      <c r="A498" t="s">
        <v>884</v>
      </c>
      <c r="B498" t="s">
        <v>1231</v>
      </c>
      <c r="C498" t="s">
        <v>188</v>
      </c>
      <c r="D498" t="s">
        <v>245</v>
      </c>
      <c r="E498" t="s">
        <v>2046</v>
      </c>
      <c r="F498" t="s">
        <v>2281</v>
      </c>
      <c r="G498" t="s">
        <v>2375</v>
      </c>
      <c r="H498" t="s">
        <v>2374</v>
      </c>
      <c r="I498" t="s">
        <v>2375</v>
      </c>
      <c r="J498" t="str">
        <f>IF(COUNTIF(Table5[Country],Table310[Country])&gt;0,"Y","N")</f>
        <v>Y</v>
      </c>
      <c r="K498">
        <f>IF(Table310[[#This Row],[Adverse Media]]="Y",15,0)+IF(Table310[[#This Row],[PEP]]="Y",50,0)+IF(Table310[[#This Row],[Sanctions]]="Y",70,0)+IF(Table310[[#This Row],[High Risk Country]]="Y",25,0)</f>
        <v>110</v>
      </c>
      <c r="L498" t="str">
        <f>_xlfn.IFS(Table310[[#This Row],[Risk Score]]&gt;=85,"Critical",Table310[[#This Row],[Risk Score]]&gt;=65,"High",Table310[[#This Row],[Risk Score]]&gt;=45,"Medium",TRUE,"Low")</f>
        <v>Critical</v>
      </c>
    </row>
    <row r="499" spans="1:12" x14ac:dyDescent="0.3">
      <c r="A499" t="s">
        <v>885</v>
      </c>
      <c r="B499" t="s">
        <v>1232</v>
      </c>
      <c r="C499" t="s">
        <v>188</v>
      </c>
      <c r="D499" t="s">
        <v>238</v>
      </c>
      <c r="E499" t="s">
        <v>2047</v>
      </c>
      <c r="F499" t="s">
        <v>2282</v>
      </c>
      <c r="G499" t="s">
        <v>2374</v>
      </c>
      <c r="H499" t="s">
        <v>2374</v>
      </c>
      <c r="I499" t="s">
        <v>2375</v>
      </c>
      <c r="J499" t="str">
        <f>IF(COUNTIF(Table5[Country],Table310[Country])&gt;0,"Y","N")</f>
        <v>N</v>
      </c>
      <c r="K499">
        <f>IF(Table310[[#This Row],[Adverse Media]]="Y",15,0)+IF(Table310[[#This Row],[PEP]]="Y",50,0)+IF(Table310[[#This Row],[Sanctions]]="Y",70,0)+IF(Table310[[#This Row],[High Risk Country]]="Y",25,0)</f>
        <v>70</v>
      </c>
      <c r="L499" t="str">
        <f>_xlfn.IFS(Table310[[#This Row],[Risk Score]]&gt;=85,"Critical",Table310[[#This Row],[Risk Score]]&gt;=65,"High",Table310[[#This Row],[Risk Score]]&gt;=45,"Medium",TRUE,"Low")</f>
        <v>High</v>
      </c>
    </row>
    <row r="500" spans="1:12" x14ac:dyDescent="0.3">
      <c r="A500" t="s">
        <v>886</v>
      </c>
      <c r="B500" t="s">
        <v>1233</v>
      </c>
      <c r="C500" t="s">
        <v>188</v>
      </c>
      <c r="D500" t="s">
        <v>211</v>
      </c>
      <c r="E500" t="s">
        <v>2048</v>
      </c>
      <c r="F500" t="s">
        <v>2283</v>
      </c>
      <c r="G500" t="s">
        <v>2374</v>
      </c>
      <c r="H500" t="s">
        <v>2374</v>
      </c>
      <c r="I500" t="s">
        <v>2374</v>
      </c>
      <c r="J500" t="str">
        <f>IF(COUNTIF(Table5[Country],Table310[Country])&gt;0,"Y","N")</f>
        <v>N</v>
      </c>
      <c r="K500">
        <f>IF(Table310[[#This Row],[Adverse Media]]="Y",15,0)+IF(Table310[[#This Row],[PEP]]="Y",50,0)+IF(Table310[[#This Row],[Sanctions]]="Y",70,0)+IF(Table310[[#This Row],[High Risk Country]]="Y",25,0)</f>
        <v>0</v>
      </c>
      <c r="L500" t="str">
        <f>_xlfn.IFS(Table310[[#This Row],[Risk Score]]&gt;=85,"Critical",Table310[[#This Row],[Risk Score]]&gt;=65,"High",Table310[[#This Row],[Risk Score]]&gt;=45,"Medium",TRUE,"Low")</f>
        <v>Low</v>
      </c>
    </row>
    <row r="501" spans="1:12" x14ac:dyDescent="0.3">
      <c r="A501" t="s">
        <v>887</v>
      </c>
      <c r="B501" t="s">
        <v>1234</v>
      </c>
      <c r="C501" t="s">
        <v>188</v>
      </c>
      <c r="D501" t="s">
        <v>198</v>
      </c>
      <c r="E501" t="s">
        <v>2049</v>
      </c>
      <c r="F501" t="s">
        <v>666</v>
      </c>
      <c r="G501" t="s">
        <v>2374</v>
      </c>
      <c r="H501" t="s">
        <v>2374</v>
      </c>
      <c r="I501" t="s">
        <v>2375</v>
      </c>
      <c r="J501" t="str">
        <f>IF(COUNTIF(Table5[Country],Table310[Country])&gt;0,"Y","N")</f>
        <v>N</v>
      </c>
      <c r="K501">
        <f>IF(Table310[[#This Row],[Adverse Media]]="Y",15,0)+IF(Table310[[#This Row],[PEP]]="Y",50,0)+IF(Table310[[#This Row],[Sanctions]]="Y",70,0)+IF(Table310[[#This Row],[High Risk Country]]="Y",25,0)</f>
        <v>70</v>
      </c>
      <c r="L501" t="str">
        <f>_xlfn.IFS(Table310[[#This Row],[Risk Score]]&gt;=85,"Critical",Table310[[#This Row],[Risk Score]]&gt;=65,"High",Table310[[#This Row],[Risk Score]]&gt;=45,"Medium",TRUE,"Low")</f>
        <v>High</v>
      </c>
    </row>
    <row r="502" spans="1:12" x14ac:dyDescent="0.3">
      <c r="A502" t="s">
        <v>888</v>
      </c>
      <c r="B502" t="s">
        <v>1235</v>
      </c>
      <c r="C502" t="s">
        <v>188</v>
      </c>
      <c r="D502" t="s">
        <v>237</v>
      </c>
      <c r="E502" t="s">
        <v>2050</v>
      </c>
      <c r="F502" t="s">
        <v>401</v>
      </c>
      <c r="G502" t="s">
        <v>2375</v>
      </c>
      <c r="H502" t="s">
        <v>2374</v>
      </c>
      <c r="I502" t="s">
        <v>2375</v>
      </c>
      <c r="J502" t="str">
        <f>IF(COUNTIF(Table5[Country],Table310[Country])&gt;0,"Y","N")</f>
        <v>Y</v>
      </c>
      <c r="K502">
        <f>IF(Table310[[#This Row],[Adverse Media]]="Y",15,0)+IF(Table310[[#This Row],[PEP]]="Y",50,0)+IF(Table310[[#This Row],[Sanctions]]="Y",70,0)+IF(Table310[[#This Row],[High Risk Country]]="Y",25,0)</f>
        <v>110</v>
      </c>
      <c r="L502" t="str">
        <f>_xlfn.IFS(Table310[[#This Row],[Risk Score]]&gt;=85,"Critical",Table310[[#This Row],[Risk Score]]&gt;=65,"High",Table310[[#This Row],[Risk Score]]&gt;=45,"Medium",TRUE,"Low")</f>
        <v>Critical</v>
      </c>
    </row>
    <row r="503" spans="1:12" x14ac:dyDescent="0.3">
      <c r="A503" t="s">
        <v>889</v>
      </c>
      <c r="B503" t="s">
        <v>1236</v>
      </c>
      <c r="C503" t="s">
        <v>188</v>
      </c>
      <c r="D503" t="s">
        <v>232</v>
      </c>
      <c r="E503" t="s">
        <v>643</v>
      </c>
      <c r="F503" t="s">
        <v>2284</v>
      </c>
      <c r="G503" t="s">
        <v>2375</v>
      </c>
      <c r="H503" t="s">
        <v>2374</v>
      </c>
      <c r="I503" t="s">
        <v>2375</v>
      </c>
      <c r="J503" t="str">
        <f>IF(COUNTIF(Table5[Country],Table310[Country])&gt;0,"Y","N")</f>
        <v>N</v>
      </c>
      <c r="K503">
        <f>IF(Table310[[#This Row],[Adverse Media]]="Y",15,0)+IF(Table310[[#This Row],[PEP]]="Y",50,0)+IF(Table310[[#This Row],[Sanctions]]="Y",70,0)+IF(Table310[[#This Row],[High Risk Country]]="Y",25,0)</f>
        <v>85</v>
      </c>
      <c r="L503" t="str">
        <f>_xlfn.IFS(Table310[[#This Row],[Risk Score]]&gt;=85,"Critical",Table310[[#This Row],[Risk Score]]&gt;=65,"High",Table310[[#This Row],[Risk Score]]&gt;=45,"Medium",TRUE,"Low")</f>
        <v>Critical</v>
      </c>
    </row>
    <row r="504" spans="1:12" x14ac:dyDescent="0.3">
      <c r="A504" t="s">
        <v>890</v>
      </c>
      <c r="B504" t="s">
        <v>1237</v>
      </c>
      <c r="C504" t="s">
        <v>188</v>
      </c>
      <c r="D504" t="s">
        <v>233</v>
      </c>
      <c r="E504" t="s">
        <v>380</v>
      </c>
      <c r="F504" t="s">
        <v>1775</v>
      </c>
      <c r="G504" t="s">
        <v>2374</v>
      </c>
      <c r="H504" t="s">
        <v>2374</v>
      </c>
      <c r="I504" t="s">
        <v>2374</v>
      </c>
      <c r="J504" t="str">
        <f>IF(COUNTIF(Table5[Country],Table310[Country])&gt;0,"Y","N")</f>
        <v>N</v>
      </c>
      <c r="K504">
        <f>IF(Table310[[#This Row],[Adverse Media]]="Y",15,0)+IF(Table310[[#This Row],[PEP]]="Y",50,0)+IF(Table310[[#This Row],[Sanctions]]="Y",70,0)+IF(Table310[[#This Row],[High Risk Country]]="Y",25,0)</f>
        <v>0</v>
      </c>
      <c r="L504" t="str">
        <f>_xlfn.IFS(Table310[[#This Row],[Risk Score]]&gt;=85,"Critical",Table310[[#This Row],[Risk Score]]&gt;=65,"High",Table310[[#This Row],[Risk Score]]&gt;=45,"Medium",TRUE,"Low")</f>
        <v>Low</v>
      </c>
    </row>
    <row r="505" spans="1:12" x14ac:dyDescent="0.3">
      <c r="A505" t="s">
        <v>891</v>
      </c>
      <c r="B505" t="s">
        <v>1238</v>
      </c>
      <c r="C505" t="s">
        <v>188</v>
      </c>
      <c r="D505" t="s">
        <v>195</v>
      </c>
      <c r="E505" t="s">
        <v>497</v>
      </c>
      <c r="F505" t="s">
        <v>2285</v>
      </c>
      <c r="G505" t="s">
        <v>2374</v>
      </c>
      <c r="H505" t="s">
        <v>2374</v>
      </c>
      <c r="I505" t="s">
        <v>2374</v>
      </c>
      <c r="J505" t="str">
        <f>IF(COUNTIF(Table5[Country],Table310[Country])&gt;0,"Y","N")</f>
        <v>N</v>
      </c>
      <c r="K505">
        <f>IF(Table310[[#This Row],[Adverse Media]]="Y",15,0)+IF(Table310[[#This Row],[PEP]]="Y",50,0)+IF(Table310[[#This Row],[Sanctions]]="Y",70,0)+IF(Table310[[#This Row],[High Risk Country]]="Y",25,0)</f>
        <v>0</v>
      </c>
      <c r="L505" t="str">
        <f>_xlfn.IFS(Table310[[#This Row],[Risk Score]]&gt;=85,"Critical",Table310[[#This Row],[Risk Score]]&gt;=65,"High",Table310[[#This Row],[Risk Score]]&gt;=45,"Medium",TRUE,"Low")</f>
        <v>Low</v>
      </c>
    </row>
    <row r="506" spans="1:12" x14ac:dyDescent="0.3">
      <c r="A506" t="s">
        <v>892</v>
      </c>
      <c r="B506" t="s">
        <v>1239</v>
      </c>
      <c r="C506" t="s">
        <v>188</v>
      </c>
      <c r="D506" t="s">
        <v>198</v>
      </c>
      <c r="E506" t="s">
        <v>2051</v>
      </c>
      <c r="F506" t="s">
        <v>2286</v>
      </c>
      <c r="G506" t="s">
        <v>2375</v>
      </c>
      <c r="H506" t="s">
        <v>2374</v>
      </c>
      <c r="I506" t="s">
        <v>2375</v>
      </c>
      <c r="J506" t="str">
        <f>IF(COUNTIF(Table5[Country],Table310[Country])&gt;0,"Y","N")</f>
        <v>N</v>
      </c>
      <c r="K506">
        <f>IF(Table310[[#This Row],[Adverse Media]]="Y",15,0)+IF(Table310[[#This Row],[PEP]]="Y",50,0)+IF(Table310[[#This Row],[Sanctions]]="Y",70,0)+IF(Table310[[#This Row],[High Risk Country]]="Y",25,0)</f>
        <v>85</v>
      </c>
      <c r="L506" t="str">
        <f>_xlfn.IFS(Table310[[#This Row],[Risk Score]]&gt;=85,"Critical",Table310[[#This Row],[Risk Score]]&gt;=65,"High",Table310[[#This Row],[Risk Score]]&gt;=45,"Medium",TRUE,"Low")</f>
        <v>Critical</v>
      </c>
    </row>
    <row r="507" spans="1:12" x14ac:dyDescent="0.3">
      <c r="A507" t="s">
        <v>893</v>
      </c>
      <c r="B507" t="s">
        <v>1240</v>
      </c>
      <c r="C507" t="s">
        <v>188</v>
      </c>
      <c r="D507" t="s">
        <v>191</v>
      </c>
      <c r="E507" t="s">
        <v>2052</v>
      </c>
      <c r="F507" t="s">
        <v>2287</v>
      </c>
      <c r="G507" t="s">
        <v>2375</v>
      </c>
      <c r="H507" t="s">
        <v>2374</v>
      </c>
      <c r="I507" t="s">
        <v>2374</v>
      </c>
      <c r="J507" t="str">
        <f>IF(COUNTIF(Table5[Country],Table310[Country])&gt;0,"Y","N")</f>
        <v>N</v>
      </c>
      <c r="K507">
        <f>IF(Table310[[#This Row],[Adverse Media]]="Y",15,0)+IF(Table310[[#This Row],[PEP]]="Y",50,0)+IF(Table310[[#This Row],[Sanctions]]="Y",70,0)+IF(Table310[[#This Row],[High Risk Country]]="Y",25,0)</f>
        <v>15</v>
      </c>
      <c r="L507" t="str">
        <f>_xlfn.IFS(Table310[[#This Row],[Risk Score]]&gt;=85,"Critical",Table310[[#This Row],[Risk Score]]&gt;=65,"High",Table310[[#This Row],[Risk Score]]&gt;=45,"Medium",TRUE,"Low")</f>
        <v>Low</v>
      </c>
    </row>
    <row r="508" spans="1:12" x14ac:dyDescent="0.3">
      <c r="A508" t="s">
        <v>894</v>
      </c>
      <c r="B508" t="s">
        <v>1241</v>
      </c>
      <c r="C508" t="s">
        <v>188</v>
      </c>
      <c r="D508" t="s">
        <v>201</v>
      </c>
      <c r="E508" t="s">
        <v>621</v>
      </c>
      <c r="F508" t="s">
        <v>1900</v>
      </c>
      <c r="G508" t="s">
        <v>2374</v>
      </c>
      <c r="H508" t="s">
        <v>2374</v>
      </c>
      <c r="I508" t="s">
        <v>2375</v>
      </c>
      <c r="J508" t="str">
        <f>IF(COUNTIF(Table5[Country],Table310[Country])&gt;0,"Y","N")</f>
        <v>N</v>
      </c>
      <c r="K508">
        <f>IF(Table310[[#This Row],[Adverse Media]]="Y",15,0)+IF(Table310[[#This Row],[PEP]]="Y",50,0)+IF(Table310[[#This Row],[Sanctions]]="Y",70,0)+IF(Table310[[#This Row],[High Risk Country]]="Y",25,0)</f>
        <v>70</v>
      </c>
      <c r="L508" t="str">
        <f>_xlfn.IFS(Table310[[#This Row],[Risk Score]]&gt;=85,"Critical",Table310[[#This Row],[Risk Score]]&gt;=65,"High",Table310[[#This Row],[Risk Score]]&gt;=45,"Medium",TRUE,"Low")</f>
        <v>High</v>
      </c>
    </row>
    <row r="509" spans="1:12" x14ac:dyDescent="0.3">
      <c r="A509" t="s">
        <v>895</v>
      </c>
      <c r="B509" t="s">
        <v>1242</v>
      </c>
      <c r="C509" t="s">
        <v>188</v>
      </c>
      <c r="D509" t="s">
        <v>237</v>
      </c>
      <c r="E509" t="s">
        <v>2053</v>
      </c>
      <c r="F509" t="s">
        <v>265</v>
      </c>
      <c r="G509" t="s">
        <v>2374</v>
      </c>
      <c r="H509" t="s">
        <v>2374</v>
      </c>
      <c r="I509" t="s">
        <v>2375</v>
      </c>
      <c r="J509" t="str">
        <f>IF(COUNTIF(Table5[Country],Table310[Country])&gt;0,"Y","N")</f>
        <v>Y</v>
      </c>
      <c r="K509">
        <f>IF(Table310[[#This Row],[Adverse Media]]="Y",15,0)+IF(Table310[[#This Row],[PEP]]="Y",50,0)+IF(Table310[[#This Row],[Sanctions]]="Y",70,0)+IF(Table310[[#This Row],[High Risk Country]]="Y",25,0)</f>
        <v>95</v>
      </c>
      <c r="L509" t="str">
        <f>_xlfn.IFS(Table310[[#This Row],[Risk Score]]&gt;=85,"Critical",Table310[[#This Row],[Risk Score]]&gt;=65,"High",Table310[[#This Row],[Risk Score]]&gt;=45,"Medium",TRUE,"Low")</f>
        <v>Critical</v>
      </c>
    </row>
    <row r="510" spans="1:12" x14ac:dyDescent="0.3">
      <c r="A510" t="s">
        <v>896</v>
      </c>
      <c r="B510" t="s">
        <v>1243</v>
      </c>
      <c r="C510" t="s">
        <v>188</v>
      </c>
      <c r="D510" t="s">
        <v>247</v>
      </c>
      <c r="E510" t="s">
        <v>2054</v>
      </c>
      <c r="F510" t="s">
        <v>2288</v>
      </c>
      <c r="G510" t="s">
        <v>2375</v>
      </c>
      <c r="H510" t="s">
        <v>2374</v>
      </c>
      <c r="I510" t="s">
        <v>2374</v>
      </c>
      <c r="J510" t="str">
        <f>IF(COUNTIF(Table5[Country],Table310[Country])&gt;0,"Y","N")</f>
        <v>Y</v>
      </c>
      <c r="K510">
        <f>IF(Table310[[#This Row],[Adverse Media]]="Y",15,0)+IF(Table310[[#This Row],[PEP]]="Y",50,0)+IF(Table310[[#This Row],[Sanctions]]="Y",70,0)+IF(Table310[[#This Row],[High Risk Country]]="Y",25,0)</f>
        <v>40</v>
      </c>
      <c r="L510" t="str">
        <f>_xlfn.IFS(Table310[[#This Row],[Risk Score]]&gt;=85,"Critical",Table310[[#This Row],[Risk Score]]&gt;=65,"High",Table310[[#This Row],[Risk Score]]&gt;=45,"Medium",TRUE,"Low")</f>
        <v>Low</v>
      </c>
    </row>
    <row r="511" spans="1:12" x14ac:dyDescent="0.3">
      <c r="A511" t="s">
        <v>897</v>
      </c>
      <c r="B511" t="s">
        <v>1244</v>
      </c>
      <c r="C511" t="s">
        <v>188</v>
      </c>
      <c r="D511" t="s">
        <v>214</v>
      </c>
      <c r="E511" t="s">
        <v>2055</v>
      </c>
      <c r="F511" t="s">
        <v>2289</v>
      </c>
      <c r="G511" t="s">
        <v>2375</v>
      </c>
      <c r="H511" t="s">
        <v>2374</v>
      </c>
      <c r="I511" t="s">
        <v>2375</v>
      </c>
      <c r="J511" t="str">
        <f>IF(COUNTIF(Table5[Country],Table310[Country])&gt;0,"Y","N")</f>
        <v>N</v>
      </c>
      <c r="K511">
        <f>IF(Table310[[#This Row],[Adverse Media]]="Y",15,0)+IF(Table310[[#This Row],[PEP]]="Y",50,0)+IF(Table310[[#This Row],[Sanctions]]="Y",70,0)+IF(Table310[[#This Row],[High Risk Country]]="Y",25,0)</f>
        <v>85</v>
      </c>
      <c r="L511" t="str">
        <f>_xlfn.IFS(Table310[[#This Row],[Risk Score]]&gt;=85,"Critical",Table310[[#This Row],[Risk Score]]&gt;=65,"High",Table310[[#This Row],[Risk Score]]&gt;=45,"Medium",TRUE,"Low")</f>
        <v>Critical</v>
      </c>
    </row>
    <row r="512" spans="1:12" x14ac:dyDescent="0.3">
      <c r="A512" t="s">
        <v>898</v>
      </c>
      <c r="B512" t="s">
        <v>1245</v>
      </c>
      <c r="C512" t="s">
        <v>188</v>
      </c>
      <c r="D512" t="s">
        <v>213</v>
      </c>
      <c r="E512" t="s">
        <v>2056</v>
      </c>
      <c r="F512" t="s">
        <v>2290</v>
      </c>
      <c r="G512" t="s">
        <v>2374</v>
      </c>
      <c r="H512" t="s">
        <v>2374</v>
      </c>
      <c r="I512" t="s">
        <v>2375</v>
      </c>
      <c r="J512" t="str">
        <f>IF(COUNTIF(Table5[Country],Table310[Country])&gt;0,"Y","N")</f>
        <v>Y</v>
      </c>
      <c r="K512">
        <f>IF(Table310[[#This Row],[Adverse Media]]="Y",15,0)+IF(Table310[[#This Row],[PEP]]="Y",50,0)+IF(Table310[[#This Row],[Sanctions]]="Y",70,0)+IF(Table310[[#This Row],[High Risk Country]]="Y",25,0)</f>
        <v>95</v>
      </c>
      <c r="L512" t="str">
        <f>_xlfn.IFS(Table310[[#This Row],[Risk Score]]&gt;=85,"Critical",Table310[[#This Row],[Risk Score]]&gt;=65,"High",Table310[[#This Row],[Risk Score]]&gt;=45,"Medium",TRUE,"Low")</f>
        <v>Critical</v>
      </c>
    </row>
    <row r="513" spans="1:12" x14ac:dyDescent="0.3">
      <c r="A513" t="s">
        <v>899</v>
      </c>
      <c r="B513" t="s">
        <v>1246</v>
      </c>
      <c r="C513" t="s">
        <v>188</v>
      </c>
      <c r="D513" t="s">
        <v>248</v>
      </c>
      <c r="E513" t="s">
        <v>2057</v>
      </c>
      <c r="F513" t="s">
        <v>658</v>
      </c>
      <c r="G513" t="s">
        <v>2374</v>
      </c>
      <c r="H513" t="s">
        <v>2374</v>
      </c>
      <c r="I513" t="s">
        <v>2374</v>
      </c>
      <c r="J513" t="str">
        <f>IF(COUNTIF(Table5[Country],Table310[Country])&gt;0,"Y","N")</f>
        <v>N</v>
      </c>
      <c r="K513">
        <f>IF(Table310[[#This Row],[Adverse Media]]="Y",15,0)+IF(Table310[[#This Row],[PEP]]="Y",50,0)+IF(Table310[[#This Row],[Sanctions]]="Y",70,0)+IF(Table310[[#This Row],[High Risk Country]]="Y",25,0)</f>
        <v>0</v>
      </c>
      <c r="L513" t="str">
        <f>_xlfn.IFS(Table310[[#This Row],[Risk Score]]&gt;=85,"Critical",Table310[[#This Row],[Risk Score]]&gt;=65,"High",Table310[[#This Row],[Risk Score]]&gt;=45,"Medium",TRUE,"Low")</f>
        <v>Low</v>
      </c>
    </row>
    <row r="514" spans="1:12" x14ac:dyDescent="0.3">
      <c r="A514" t="s">
        <v>900</v>
      </c>
      <c r="B514" t="s">
        <v>1247</v>
      </c>
      <c r="C514" t="s">
        <v>188</v>
      </c>
      <c r="D514" t="s">
        <v>201</v>
      </c>
      <c r="E514" t="s">
        <v>2058</v>
      </c>
      <c r="F514" t="s">
        <v>489</v>
      </c>
      <c r="G514" t="s">
        <v>2375</v>
      </c>
      <c r="H514" t="s">
        <v>2374</v>
      </c>
      <c r="I514" t="s">
        <v>2375</v>
      </c>
      <c r="J514" t="str">
        <f>IF(COUNTIF(Table5[Country],Table310[Country])&gt;0,"Y","N")</f>
        <v>N</v>
      </c>
      <c r="K514">
        <f>IF(Table310[[#This Row],[Adverse Media]]="Y",15,0)+IF(Table310[[#This Row],[PEP]]="Y",50,0)+IF(Table310[[#This Row],[Sanctions]]="Y",70,0)+IF(Table310[[#This Row],[High Risk Country]]="Y",25,0)</f>
        <v>85</v>
      </c>
      <c r="L514" t="str">
        <f>_xlfn.IFS(Table310[[#This Row],[Risk Score]]&gt;=85,"Critical",Table310[[#This Row],[Risk Score]]&gt;=65,"High",Table310[[#This Row],[Risk Score]]&gt;=45,"Medium",TRUE,"Low")</f>
        <v>Critical</v>
      </c>
    </row>
    <row r="515" spans="1:12" x14ac:dyDescent="0.3">
      <c r="A515" t="s">
        <v>901</v>
      </c>
      <c r="B515" t="s">
        <v>1248</v>
      </c>
      <c r="C515" t="s">
        <v>188</v>
      </c>
      <c r="D515" t="s">
        <v>238</v>
      </c>
      <c r="E515" t="s">
        <v>479</v>
      </c>
      <c r="F515" t="s">
        <v>2117</v>
      </c>
      <c r="G515" t="s">
        <v>2375</v>
      </c>
      <c r="H515" t="s">
        <v>2374</v>
      </c>
      <c r="I515" t="s">
        <v>2375</v>
      </c>
      <c r="J515" t="str">
        <f>IF(COUNTIF(Table5[Country],Table310[Country])&gt;0,"Y","N")</f>
        <v>N</v>
      </c>
      <c r="K515">
        <f>IF(Table310[[#This Row],[Adverse Media]]="Y",15,0)+IF(Table310[[#This Row],[PEP]]="Y",50,0)+IF(Table310[[#This Row],[Sanctions]]="Y",70,0)+IF(Table310[[#This Row],[High Risk Country]]="Y",25,0)</f>
        <v>85</v>
      </c>
      <c r="L515" t="str">
        <f>_xlfn.IFS(Table310[[#This Row],[Risk Score]]&gt;=85,"Critical",Table310[[#This Row],[Risk Score]]&gt;=65,"High",Table310[[#This Row],[Risk Score]]&gt;=45,"Medium",TRUE,"Low")</f>
        <v>Critical</v>
      </c>
    </row>
    <row r="516" spans="1:12" x14ac:dyDescent="0.3">
      <c r="A516" t="s">
        <v>902</v>
      </c>
      <c r="B516" t="s">
        <v>1249</v>
      </c>
      <c r="C516" t="s">
        <v>188</v>
      </c>
      <c r="D516" t="s">
        <v>201</v>
      </c>
      <c r="E516" t="s">
        <v>2059</v>
      </c>
      <c r="F516" t="s">
        <v>2291</v>
      </c>
      <c r="G516" t="s">
        <v>2375</v>
      </c>
      <c r="H516" t="s">
        <v>2374</v>
      </c>
      <c r="I516" t="s">
        <v>2374</v>
      </c>
      <c r="J516" t="str">
        <f>IF(COUNTIF(Table5[Country],Table310[Country])&gt;0,"Y","N")</f>
        <v>N</v>
      </c>
      <c r="K516">
        <f>IF(Table310[[#This Row],[Adverse Media]]="Y",15,0)+IF(Table310[[#This Row],[PEP]]="Y",50,0)+IF(Table310[[#This Row],[Sanctions]]="Y",70,0)+IF(Table310[[#This Row],[High Risk Country]]="Y",25,0)</f>
        <v>15</v>
      </c>
      <c r="L516" t="str">
        <f>_xlfn.IFS(Table310[[#This Row],[Risk Score]]&gt;=85,"Critical",Table310[[#This Row],[Risk Score]]&gt;=65,"High",Table310[[#This Row],[Risk Score]]&gt;=45,"Medium",TRUE,"Low")</f>
        <v>Low</v>
      </c>
    </row>
    <row r="517" spans="1:12" x14ac:dyDescent="0.3">
      <c r="A517" t="s">
        <v>903</v>
      </c>
      <c r="B517" t="s">
        <v>1250</v>
      </c>
      <c r="C517" t="s">
        <v>188</v>
      </c>
      <c r="D517" t="s">
        <v>219</v>
      </c>
      <c r="E517" t="s">
        <v>1885</v>
      </c>
      <c r="F517" t="s">
        <v>2292</v>
      </c>
      <c r="G517" t="s">
        <v>2375</v>
      </c>
      <c r="H517" t="s">
        <v>2374</v>
      </c>
      <c r="I517" t="s">
        <v>2375</v>
      </c>
      <c r="J517" t="str">
        <f>IF(COUNTIF(Table5[Country],Table310[Country])&gt;0,"Y","N")</f>
        <v>Y</v>
      </c>
      <c r="K517">
        <f>IF(Table310[[#This Row],[Adverse Media]]="Y",15,0)+IF(Table310[[#This Row],[PEP]]="Y",50,0)+IF(Table310[[#This Row],[Sanctions]]="Y",70,0)+IF(Table310[[#This Row],[High Risk Country]]="Y",25,0)</f>
        <v>110</v>
      </c>
      <c r="L517" t="str">
        <f>_xlfn.IFS(Table310[[#This Row],[Risk Score]]&gt;=85,"Critical",Table310[[#This Row],[Risk Score]]&gt;=65,"High",Table310[[#This Row],[Risk Score]]&gt;=45,"Medium",TRUE,"Low")</f>
        <v>Critical</v>
      </c>
    </row>
    <row r="518" spans="1:12" x14ac:dyDescent="0.3">
      <c r="A518" t="s">
        <v>904</v>
      </c>
      <c r="B518" t="s">
        <v>1251</v>
      </c>
      <c r="C518" t="s">
        <v>188</v>
      </c>
      <c r="D518" t="s">
        <v>222</v>
      </c>
      <c r="E518" t="s">
        <v>2060</v>
      </c>
      <c r="F518" t="s">
        <v>2107</v>
      </c>
      <c r="G518" t="s">
        <v>2375</v>
      </c>
      <c r="H518" t="s">
        <v>2374</v>
      </c>
      <c r="I518" t="s">
        <v>2374</v>
      </c>
      <c r="J518" t="str">
        <f>IF(COUNTIF(Table5[Country],Table310[Country])&gt;0,"Y","N")</f>
        <v>N</v>
      </c>
      <c r="K518">
        <f>IF(Table310[[#This Row],[Adverse Media]]="Y",15,0)+IF(Table310[[#This Row],[PEP]]="Y",50,0)+IF(Table310[[#This Row],[Sanctions]]="Y",70,0)+IF(Table310[[#This Row],[High Risk Country]]="Y",25,0)</f>
        <v>15</v>
      </c>
      <c r="L518" t="str">
        <f>_xlfn.IFS(Table310[[#This Row],[Risk Score]]&gt;=85,"Critical",Table310[[#This Row],[Risk Score]]&gt;=65,"High",Table310[[#This Row],[Risk Score]]&gt;=45,"Medium",TRUE,"Low")</f>
        <v>Low</v>
      </c>
    </row>
    <row r="519" spans="1:12" x14ac:dyDescent="0.3">
      <c r="A519" t="s">
        <v>905</v>
      </c>
      <c r="B519" t="s">
        <v>1252</v>
      </c>
      <c r="C519" t="s">
        <v>188</v>
      </c>
      <c r="D519" t="s">
        <v>217</v>
      </c>
      <c r="E519" t="s">
        <v>2061</v>
      </c>
      <c r="F519" t="s">
        <v>2293</v>
      </c>
      <c r="G519" t="s">
        <v>2374</v>
      </c>
      <c r="H519" t="s">
        <v>2374</v>
      </c>
      <c r="I519" t="s">
        <v>2374</v>
      </c>
      <c r="J519" t="str">
        <f>IF(COUNTIF(Table5[Country],Table310[Country])&gt;0,"Y","N")</f>
        <v>Y</v>
      </c>
      <c r="K519">
        <f>IF(Table310[[#This Row],[Adverse Media]]="Y",15,0)+IF(Table310[[#This Row],[PEP]]="Y",50,0)+IF(Table310[[#This Row],[Sanctions]]="Y",70,0)+IF(Table310[[#This Row],[High Risk Country]]="Y",25,0)</f>
        <v>25</v>
      </c>
      <c r="L519" t="str">
        <f>_xlfn.IFS(Table310[[#This Row],[Risk Score]]&gt;=85,"Critical",Table310[[#This Row],[Risk Score]]&gt;=65,"High",Table310[[#This Row],[Risk Score]]&gt;=45,"Medium",TRUE,"Low")</f>
        <v>Low</v>
      </c>
    </row>
    <row r="520" spans="1:12" x14ac:dyDescent="0.3">
      <c r="A520" t="s">
        <v>906</v>
      </c>
      <c r="B520" t="s">
        <v>1253</v>
      </c>
      <c r="C520" t="s">
        <v>188</v>
      </c>
      <c r="D520" t="s">
        <v>199</v>
      </c>
      <c r="E520" t="s">
        <v>2062</v>
      </c>
      <c r="F520" t="s">
        <v>2294</v>
      </c>
      <c r="G520" t="s">
        <v>2375</v>
      </c>
      <c r="H520" t="s">
        <v>2374</v>
      </c>
      <c r="I520" t="s">
        <v>2375</v>
      </c>
      <c r="J520" t="str">
        <f>IF(COUNTIF(Table5[Country],Table310[Country])&gt;0,"Y","N")</f>
        <v>N</v>
      </c>
      <c r="K520">
        <f>IF(Table310[[#This Row],[Adverse Media]]="Y",15,0)+IF(Table310[[#This Row],[PEP]]="Y",50,0)+IF(Table310[[#This Row],[Sanctions]]="Y",70,0)+IF(Table310[[#This Row],[High Risk Country]]="Y",25,0)</f>
        <v>85</v>
      </c>
      <c r="L520" t="str">
        <f>_xlfn.IFS(Table310[[#This Row],[Risk Score]]&gt;=85,"Critical",Table310[[#This Row],[Risk Score]]&gt;=65,"High",Table310[[#This Row],[Risk Score]]&gt;=45,"Medium",TRUE,"Low")</f>
        <v>Critical</v>
      </c>
    </row>
    <row r="521" spans="1:12" x14ac:dyDescent="0.3">
      <c r="A521" t="s">
        <v>907</v>
      </c>
      <c r="B521" t="s">
        <v>1254</v>
      </c>
      <c r="C521" t="s">
        <v>188</v>
      </c>
      <c r="D521" t="s">
        <v>221</v>
      </c>
      <c r="E521" t="s">
        <v>2063</v>
      </c>
      <c r="F521" t="s">
        <v>538</v>
      </c>
      <c r="G521" t="s">
        <v>2374</v>
      </c>
      <c r="H521" t="s">
        <v>2374</v>
      </c>
      <c r="I521" t="s">
        <v>2375</v>
      </c>
      <c r="J521" t="str">
        <f>IF(COUNTIF(Table5[Country],Table310[Country])&gt;0,"Y","N")</f>
        <v>N</v>
      </c>
      <c r="K521">
        <f>IF(Table310[[#This Row],[Adverse Media]]="Y",15,0)+IF(Table310[[#This Row],[PEP]]="Y",50,0)+IF(Table310[[#This Row],[Sanctions]]="Y",70,0)+IF(Table310[[#This Row],[High Risk Country]]="Y",25,0)</f>
        <v>70</v>
      </c>
      <c r="L521" t="str">
        <f>_xlfn.IFS(Table310[[#This Row],[Risk Score]]&gt;=85,"Critical",Table310[[#This Row],[Risk Score]]&gt;=65,"High",Table310[[#This Row],[Risk Score]]&gt;=45,"Medium",TRUE,"Low")</f>
        <v>High</v>
      </c>
    </row>
    <row r="522" spans="1:12" x14ac:dyDescent="0.3">
      <c r="A522" t="s">
        <v>908</v>
      </c>
      <c r="B522" t="s">
        <v>1255</v>
      </c>
      <c r="C522" t="s">
        <v>188</v>
      </c>
      <c r="D522" t="s">
        <v>246</v>
      </c>
      <c r="E522" t="s">
        <v>2064</v>
      </c>
      <c r="F522" t="s">
        <v>352</v>
      </c>
      <c r="G522" t="s">
        <v>2374</v>
      </c>
      <c r="H522" t="s">
        <v>2374</v>
      </c>
      <c r="I522" t="s">
        <v>2374</v>
      </c>
      <c r="J522" t="str">
        <f>IF(COUNTIF(Table5[Country],Table310[Country])&gt;0,"Y","N")</f>
        <v>N</v>
      </c>
      <c r="K522">
        <f>IF(Table310[[#This Row],[Adverse Media]]="Y",15,0)+IF(Table310[[#This Row],[PEP]]="Y",50,0)+IF(Table310[[#This Row],[Sanctions]]="Y",70,0)+IF(Table310[[#This Row],[High Risk Country]]="Y",25,0)</f>
        <v>0</v>
      </c>
      <c r="L522" t="str">
        <f>_xlfn.IFS(Table310[[#This Row],[Risk Score]]&gt;=85,"Critical",Table310[[#This Row],[Risk Score]]&gt;=65,"High",Table310[[#This Row],[Risk Score]]&gt;=45,"Medium",TRUE,"Low")</f>
        <v>Low</v>
      </c>
    </row>
    <row r="523" spans="1:12" x14ac:dyDescent="0.3">
      <c r="A523" t="s">
        <v>909</v>
      </c>
      <c r="B523" t="s">
        <v>1256</v>
      </c>
      <c r="C523" t="s">
        <v>188</v>
      </c>
      <c r="D523" t="s">
        <v>223</v>
      </c>
      <c r="E523" t="s">
        <v>625</v>
      </c>
      <c r="F523" t="s">
        <v>2295</v>
      </c>
      <c r="G523" t="s">
        <v>2375</v>
      </c>
      <c r="H523" t="s">
        <v>2374</v>
      </c>
      <c r="I523" t="s">
        <v>2375</v>
      </c>
      <c r="J523" t="str">
        <f>IF(COUNTIF(Table5[Country],Table310[Country])&gt;0,"Y","N")</f>
        <v>N</v>
      </c>
      <c r="K523">
        <f>IF(Table310[[#This Row],[Adverse Media]]="Y",15,0)+IF(Table310[[#This Row],[PEP]]="Y",50,0)+IF(Table310[[#This Row],[Sanctions]]="Y",70,0)+IF(Table310[[#This Row],[High Risk Country]]="Y",25,0)</f>
        <v>85</v>
      </c>
      <c r="L523" t="str">
        <f>_xlfn.IFS(Table310[[#This Row],[Risk Score]]&gt;=85,"Critical",Table310[[#This Row],[Risk Score]]&gt;=65,"High",Table310[[#This Row],[Risk Score]]&gt;=45,"Medium",TRUE,"Low")</f>
        <v>Critical</v>
      </c>
    </row>
    <row r="524" spans="1:12" x14ac:dyDescent="0.3">
      <c r="A524" t="s">
        <v>910</v>
      </c>
      <c r="B524" t="s">
        <v>1257</v>
      </c>
      <c r="C524" t="s">
        <v>188</v>
      </c>
      <c r="D524" t="s">
        <v>245</v>
      </c>
      <c r="E524" t="s">
        <v>2065</v>
      </c>
      <c r="F524" t="s">
        <v>268</v>
      </c>
      <c r="G524" t="s">
        <v>2374</v>
      </c>
      <c r="H524" t="s">
        <v>2374</v>
      </c>
      <c r="I524" t="s">
        <v>2374</v>
      </c>
      <c r="J524" t="str">
        <f>IF(COUNTIF(Table5[Country],Table310[Country])&gt;0,"Y","N")</f>
        <v>Y</v>
      </c>
      <c r="K524">
        <f>IF(Table310[[#This Row],[Adverse Media]]="Y",15,0)+IF(Table310[[#This Row],[PEP]]="Y",50,0)+IF(Table310[[#This Row],[Sanctions]]="Y",70,0)+IF(Table310[[#This Row],[High Risk Country]]="Y",25,0)</f>
        <v>25</v>
      </c>
      <c r="L524" t="str">
        <f>_xlfn.IFS(Table310[[#This Row],[Risk Score]]&gt;=85,"Critical",Table310[[#This Row],[Risk Score]]&gt;=65,"High",Table310[[#This Row],[Risk Score]]&gt;=45,"Medium",TRUE,"Low")</f>
        <v>Low</v>
      </c>
    </row>
    <row r="525" spans="1:12" x14ac:dyDescent="0.3">
      <c r="A525" t="s">
        <v>911</v>
      </c>
      <c r="B525" t="s">
        <v>1258</v>
      </c>
      <c r="C525" t="s">
        <v>188</v>
      </c>
      <c r="D525" t="s">
        <v>226</v>
      </c>
      <c r="E525" t="s">
        <v>2066</v>
      </c>
      <c r="F525" t="s">
        <v>2296</v>
      </c>
      <c r="G525" t="s">
        <v>2374</v>
      </c>
      <c r="H525" t="s">
        <v>2374</v>
      </c>
      <c r="I525" t="s">
        <v>2375</v>
      </c>
      <c r="J525" t="str">
        <f>IF(COUNTIF(Table5[Country],Table310[Country])&gt;0,"Y","N")</f>
        <v>N</v>
      </c>
      <c r="K525">
        <f>IF(Table310[[#This Row],[Adverse Media]]="Y",15,0)+IF(Table310[[#This Row],[PEP]]="Y",50,0)+IF(Table310[[#This Row],[Sanctions]]="Y",70,0)+IF(Table310[[#This Row],[High Risk Country]]="Y",25,0)</f>
        <v>70</v>
      </c>
      <c r="L525" t="str">
        <f>_xlfn.IFS(Table310[[#This Row],[Risk Score]]&gt;=85,"Critical",Table310[[#This Row],[Risk Score]]&gt;=65,"High",Table310[[#This Row],[Risk Score]]&gt;=45,"Medium",TRUE,"Low")</f>
        <v>High</v>
      </c>
    </row>
    <row r="526" spans="1:12" x14ac:dyDescent="0.3">
      <c r="A526" t="s">
        <v>912</v>
      </c>
      <c r="B526" t="s">
        <v>1259</v>
      </c>
      <c r="C526" t="s">
        <v>188</v>
      </c>
      <c r="D526" t="s">
        <v>234</v>
      </c>
      <c r="E526" t="s">
        <v>2067</v>
      </c>
      <c r="F526" t="s">
        <v>2297</v>
      </c>
      <c r="G526" t="s">
        <v>2374</v>
      </c>
      <c r="H526" t="s">
        <v>2374</v>
      </c>
      <c r="I526" t="s">
        <v>2374</v>
      </c>
      <c r="J526" t="str">
        <f>IF(COUNTIF(Table5[Country],Table310[Country])&gt;0,"Y","N")</f>
        <v>Y</v>
      </c>
      <c r="K526">
        <f>IF(Table310[[#This Row],[Adverse Media]]="Y",15,0)+IF(Table310[[#This Row],[PEP]]="Y",50,0)+IF(Table310[[#This Row],[Sanctions]]="Y",70,0)+IF(Table310[[#This Row],[High Risk Country]]="Y",25,0)</f>
        <v>25</v>
      </c>
      <c r="L526" t="str">
        <f>_xlfn.IFS(Table310[[#This Row],[Risk Score]]&gt;=85,"Critical",Table310[[#This Row],[Risk Score]]&gt;=65,"High",Table310[[#This Row],[Risk Score]]&gt;=45,"Medium",TRUE,"Low")</f>
        <v>Low</v>
      </c>
    </row>
    <row r="527" spans="1:12" x14ac:dyDescent="0.3">
      <c r="A527" t="s">
        <v>913</v>
      </c>
      <c r="B527" t="s">
        <v>1260</v>
      </c>
      <c r="C527" t="s">
        <v>188</v>
      </c>
      <c r="D527" t="s">
        <v>211</v>
      </c>
      <c r="E527" t="s">
        <v>2068</v>
      </c>
      <c r="F527" t="s">
        <v>2298</v>
      </c>
      <c r="G527" t="s">
        <v>2374</v>
      </c>
      <c r="H527" t="s">
        <v>2374</v>
      </c>
      <c r="I527" t="s">
        <v>2374</v>
      </c>
      <c r="J527" t="str">
        <f>IF(COUNTIF(Table5[Country],Table310[Country])&gt;0,"Y","N")</f>
        <v>N</v>
      </c>
      <c r="K527">
        <f>IF(Table310[[#This Row],[Adverse Media]]="Y",15,0)+IF(Table310[[#This Row],[PEP]]="Y",50,0)+IF(Table310[[#This Row],[Sanctions]]="Y",70,0)+IF(Table310[[#This Row],[High Risk Country]]="Y",25,0)</f>
        <v>0</v>
      </c>
      <c r="L527" t="str">
        <f>_xlfn.IFS(Table310[[#This Row],[Risk Score]]&gt;=85,"Critical",Table310[[#This Row],[Risk Score]]&gt;=65,"High",Table310[[#This Row],[Risk Score]]&gt;=45,"Medium",TRUE,"Low")</f>
        <v>Low</v>
      </c>
    </row>
    <row r="528" spans="1:12" x14ac:dyDescent="0.3">
      <c r="A528" t="s">
        <v>914</v>
      </c>
      <c r="B528" t="s">
        <v>1261</v>
      </c>
      <c r="C528" t="s">
        <v>188</v>
      </c>
      <c r="D528" t="s">
        <v>232</v>
      </c>
      <c r="E528" t="s">
        <v>2069</v>
      </c>
      <c r="F528" t="s">
        <v>2278</v>
      </c>
      <c r="G528" t="s">
        <v>2375</v>
      </c>
      <c r="H528" t="s">
        <v>2374</v>
      </c>
      <c r="I528" t="s">
        <v>2374</v>
      </c>
      <c r="J528" t="str">
        <f>IF(COUNTIF(Table5[Country],Table310[Country])&gt;0,"Y","N")</f>
        <v>N</v>
      </c>
      <c r="K528">
        <f>IF(Table310[[#This Row],[Adverse Media]]="Y",15,0)+IF(Table310[[#This Row],[PEP]]="Y",50,0)+IF(Table310[[#This Row],[Sanctions]]="Y",70,0)+IF(Table310[[#This Row],[High Risk Country]]="Y",25,0)</f>
        <v>15</v>
      </c>
      <c r="L528" t="str">
        <f>_xlfn.IFS(Table310[[#This Row],[Risk Score]]&gt;=85,"Critical",Table310[[#This Row],[Risk Score]]&gt;=65,"High",Table310[[#This Row],[Risk Score]]&gt;=45,"Medium",TRUE,"Low")</f>
        <v>Low</v>
      </c>
    </row>
    <row r="529" spans="1:12" x14ac:dyDescent="0.3">
      <c r="A529" t="s">
        <v>915</v>
      </c>
      <c r="B529" t="s">
        <v>1262</v>
      </c>
      <c r="C529" t="s">
        <v>188</v>
      </c>
      <c r="D529" t="s">
        <v>205</v>
      </c>
      <c r="E529" t="s">
        <v>2070</v>
      </c>
      <c r="F529" t="s">
        <v>2299</v>
      </c>
      <c r="G529" t="s">
        <v>2374</v>
      </c>
      <c r="H529" t="s">
        <v>2374</v>
      </c>
      <c r="I529" t="s">
        <v>2374</v>
      </c>
      <c r="J529" t="str">
        <f>IF(COUNTIF(Table5[Country],Table310[Country])&gt;0,"Y","N")</f>
        <v>N</v>
      </c>
      <c r="K529">
        <f>IF(Table310[[#This Row],[Adverse Media]]="Y",15,0)+IF(Table310[[#This Row],[PEP]]="Y",50,0)+IF(Table310[[#This Row],[Sanctions]]="Y",70,0)+IF(Table310[[#This Row],[High Risk Country]]="Y",25,0)</f>
        <v>0</v>
      </c>
      <c r="L529" t="str">
        <f>_xlfn.IFS(Table310[[#This Row],[Risk Score]]&gt;=85,"Critical",Table310[[#This Row],[Risk Score]]&gt;=65,"High",Table310[[#This Row],[Risk Score]]&gt;=45,"Medium",TRUE,"Low")</f>
        <v>Low</v>
      </c>
    </row>
    <row r="530" spans="1:12" x14ac:dyDescent="0.3">
      <c r="A530" t="s">
        <v>916</v>
      </c>
      <c r="B530" t="s">
        <v>1263</v>
      </c>
      <c r="C530" t="s">
        <v>188</v>
      </c>
      <c r="D530" t="s">
        <v>218</v>
      </c>
      <c r="E530" t="s">
        <v>2071</v>
      </c>
      <c r="F530" t="s">
        <v>2300</v>
      </c>
      <c r="G530" t="s">
        <v>2374</v>
      </c>
      <c r="H530" t="s">
        <v>2374</v>
      </c>
      <c r="I530" t="s">
        <v>2374</v>
      </c>
      <c r="J530" t="str">
        <f>IF(COUNTIF(Table5[Country],Table310[Country])&gt;0,"Y","N")</f>
        <v>N</v>
      </c>
      <c r="K530">
        <f>IF(Table310[[#This Row],[Adverse Media]]="Y",15,0)+IF(Table310[[#This Row],[PEP]]="Y",50,0)+IF(Table310[[#This Row],[Sanctions]]="Y",70,0)+IF(Table310[[#This Row],[High Risk Country]]="Y",25,0)</f>
        <v>0</v>
      </c>
      <c r="L530" t="str">
        <f>_xlfn.IFS(Table310[[#This Row],[Risk Score]]&gt;=85,"Critical",Table310[[#This Row],[Risk Score]]&gt;=65,"High",Table310[[#This Row],[Risk Score]]&gt;=45,"Medium",TRUE,"Low")</f>
        <v>Low</v>
      </c>
    </row>
    <row r="531" spans="1:12" x14ac:dyDescent="0.3">
      <c r="A531" t="s">
        <v>917</v>
      </c>
      <c r="B531" t="s">
        <v>1264</v>
      </c>
      <c r="C531" t="s">
        <v>188</v>
      </c>
      <c r="D531" t="s">
        <v>243</v>
      </c>
      <c r="E531" t="s">
        <v>357</v>
      </c>
      <c r="F531" t="s">
        <v>2301</v>
      </c>
      <c r="G531" t="s">
        <v>2374</v>
      </c>
      <c r="H531" t="s">
        <v>2374</v>
      </c>
      <c r="I531" t="s">
        <v>2375</v>
      </c>
      <c r="J531" t="str">
        <f>IF(COUNTIF(Table5[Country],Table310[Country])&gt;0,"Y","N")</f>
        <v>Y</v>
      </c>
      <c r="K531">
        <f>IF(Table310[[#This Row],[Adverse Media]]="Y",15,0)+IF(Table310[[#This Row],[PEP]]="Y",50,0)+IF(Table310[[#This Row],[Sanctions]]="Y",70,0)+IF(Table310[[#This Row],[High Risk Country]]="Y",25,0)</f>
        <v>95</v>
      </c>
      <c r="L531" t="str">
        <f>_xlfn.IFS(Table310[[#This Row],[Risk Score]]&gt;=85,"Critical",Table310[[#This Row],[Risk Score]]&gt;=65,"High",Table310[[#This Row],[Risk Score]]&gt;=45,"Medium",TRUE,"Low")</f>
        <v>Critical</v>
      </c>
    </row>
    <row r="532" spans="1:12" x14ac:dyDescent="0.3">
      <c r="A532" t="s">
        <v>918</v>
      </c>
      <c r="B532" t="s">
        <v>1265</v>
      </c>
      <c r="C532" t="s">
        <v>188</v>
      </c>
      <c r="D532" t="s">
        <v>249</v>
      </c>
      <c r="E532" t="s">
        <v>2072</v>
      </c>
      <c r="F532" t="s">
        <v>2302</v>
      </c>
      <c r="G532" t="s">
        <v>2375</v>
      </c>
      <c r="H532" t="s">
        <v>2374</v>
      </c>
      <c r="I532" t="s">
        <v>2374</v>
      </c>
      <c r="J532" t="str">
        <f>IF(COUNTIF(Table5[Country],Table310[Country])&gt;0,"Y","N")</f>
        <v>N</v>
      </c>
      <c r="K532">
        <f>IF(Table310[[#This Row],[Adverse Media]]="Y",15,0)+IF(Table310[[#This Row],[PEP]]="Y",50,0)+IF(Table310[[#This Row],[Sanctions]]="Y",70,0)+IF(Table310[[#This Row],[High Risk Country]]="Y",25,0)</f>
        <v>15</v>
      </c>
      <c r="L532" t="str">
        <f>_xlfn.IFS(Table310[[#This Row],[Risk Score]]&gt;=85,"Critical",Table310[[#This Row],[Risk Score]]&gt;=65,"High",Table310[[#This Row],[Risk Score]]&gt;=45,"Medium",TRUE,"Low")</f>
        <v>Low</v>
      </c>
    </row>
    <row r="533" spans="1:12" x14ac:dyDescent="0.3">
      <c r="A533" t="s">
        <v>919</v>
      </c>
      <c r="B533" t="s">
        <v>1266</v>
      </c>
      <c r="C533" t="s">
        <v>188</v>
      </c>
      <c r="D533" t="s">
        <v>200</v>
      </c>
      <c r="E533" t="s">
        <v>2073</v>
      </c>
      <c r="F533" t="s">
        <v>2303</v>
      </c>
      <c r="G533" t="s">
        <v>2374</v>
      </c>
      <c r="H533" t="s">
        <v>2374</v>
      </c>
      <c r="I533" t="s">
        <v>2374</v>
      </c>
      <c r="J533" t="str">
        <f>IF(COUNTIF(Table5[Country],Table310[Country])&gt;0,"Y","N")</f>
        <v>N</v>
      </c>
      <c r="K533">
        <f>IF(Table310[[#This Row],[Adverse Media]]="Y",15,0)+IF(Table310[[#This Row],[PEP]]="Y",50,0)+IF(Table310[[#This Row],[Sanctions]]="Y",70,0)+IF(Table310[[#This Row],[High Risk Country]]="Y",25,0)</f>
        <v>0</v>
      </c>
      <c r="L533" t="str">
        <f>_xlfn.IFS(Table310[[#This Row],[Risk Score]]&gt;=85,"Critical",Table310[[#This Row],[Risk Score]]&gt;=65,"High",Table310[[#This Row],[Risk Score]]&gt;=45,"Medium",TRUE,"Low")</f>
        <v>Low</v>
      </c>
    </row>
    <row r="534" spans="1:12" x14ac:dyDescent="0.3">
      <c r="A534" t="s">
        <v>920</v>
      </c>
      <c r="B534" t="s">
        <v>1267</v>
      </c>
      <c r="C534" t="s">
        <v>188</v>
      </c>
      <c r="D534" t="s">
        <v>235</v>
      </c>
      <c r="E534" t="s">
        <v>2074</v>
      </c>
      <c r="F534" t="s">
        <v>2304</v>
      </c>
      <c r="G534" t="s">
        <v>2375</v>
      </c>
      <c r="H534" t="s">
        <v>2375</v>
      </c>
      <c r="I534" t="s">
        <v>2374</v>
      </c>
      <c r="J534" t="str">
        <f>IF(COUNTIF(Table5[Country],Table310[Country])&gt;0,"Y","N")</f>
        <v>N</v>
      </c>
      <c r="K534">
        <f>IF(Table310[[#This Row],[Adverse Media]]="Y",15,0)+IF(Table310[[#This Row],[PEP]]="Y",50,0)+IF(Table310[[#This Row],[Sanctions]]="Y",70,0)+IF(Table310[[#This Row],[High Risk Country]]="Y",25,0)</f>
        <v>65</v>
      </c>
      <c r="L534" t="str">
        <f>_xlfn.IFS(Table310[[#This Row],[Risk Score]]&gt;=85,"Critical",Table310[[#This Row],[Risk Score]]&gt;=65,"High",Table310[[#This Row],[Risk Score]]&gt;=45,"Medium",TRUE,"Low")</f>
        <v>High</v>
      </c>
    </row>
    <row r="535" spans="1:12" x14ac:dyDescent="0.3">
      <c r="A535" t="s">
        <v>921</v>
      </c>
      <c r="B535" t="s">
        <v>1268</v>
      </c>
      <c r="C535" t="s">
        <v>188</v>
      </c>
      <c r="D535" t="s">
        <v>206</v>
      </c>
      <c r="E535" t="s">
        <v>660</v>
      </c>
      <c r="F535" t="s">
        <v>2207</v>
      </c>
      <c r="G535" t="s">
        <v>2374</v>
      </c>
      <c r="H535" t="s">
        <v>2374</v>
      </c>
      <c r="I535" t="s">
        <v>2375</v>
      </c>
      <c r="J535" t="str">
        <f>IF(COUNTIF(Table5[Country],Table310[Country])&gt;0,"Y","N")</f>
        <v>Y</v>
      </c>
      <c r="K535">
        <f>IF(Table310[[#This Row],[Adverse Media]]="Y",15,0)+IF(Table310[[#This Row],[PEP]]="Y",50,0)+IF(Table310[[#This Row],[Sanctions]]="Y",70,0)+IF(Table310[[#This Row],[High Risk Country]]="Y",25,0)</f>
        <v>95</v>
      </c>
      <c r="L535" t="str">
        <f>_xlfn.IFS(Table310[[#This Row],[Risk Score]]&gt;=85,"Critical",Table310[[#This Row],[Risk Score]]&gt;=65,"High",Table310[[#This Row],[Risk Score]]&gt;=45,"Medium",TRUE,"Low")</f>
        <v>Critical</v>
      </c>
    </row>
    <row r="536" spans="1:12" x14ac:dyDescent="0.3">
      <c r="A536" t="s">
        <v>922</v>
      </c>
      <c r="B536" t="s">
        <v>1269</v>
      </c>
      <c r="C536" t="s">
        <v>188</v>
      </c>
      <c r="D536" t="s">
        <v>217</v>
      </c>
      <c r="E536" t="s">
        <v>499</v>
      </c>
      <c r="F536" t="s">
        <v>2140</v>
      </c>
      <c r="G536" t="s">
        <v>2375</v>
      </c>
      <c r="H536" t="s">
        <v>2374</v>
      </c>
      <c r="I536" t="s">
        <v>2374</v>
      </c>
      <c r="J536" t="str">
        <f>IF(COUNTIF(Table5[Country],Table310[Country])&gt;0,"Y","N")</f>
        <v>Y</v>
      </c>
      <c r="K536">
        <f>IF(Table310[[#This Row],[Adverse Media]]="Y",15,0)+IF(Table310[[#This Row],[PEP]]="Y",50,0)+IF(Table310[[#This Row],[Sanctions]]="Y",70,0)+IF(Table310[[#This Row],[High Risk Country]]="Y",25,0)</f>
        <v>40</v>
      </c>
      <c r="L536" t="str">
        <f>_xlfn.IFS(Table310[[#This Row],[Risk Score]]&gt;=85,"Critical",Table310[[#This Row],[Risk Score]]&gt;=65,"High",Table310[[#This Row],[Risk Score]]&gt;=45,"Medium",TRUE,"Low")</f>
        <v>Low</v>
      </c>
    </row>
    <row r="537" spans="1:12" x14ac:dyDescent="0.3">
      <c r="A537" t="s">
        <v>923</v>
      </c>
      <c r="B537" t="s">
        <v>1270</v>
      </c>
      <c r="C537" t="s">
        <v>188</v>
      </c>
      <c r="D537" t="s">
        <v>194</v>
      </c>
      <c r="E537" t="s">
        <v>2075</v>
      </c>
      <c r="F537" t="s">
        <v>1802</v>
      </c>
      <c r="G537" t="s">
        <v>2375</v>
      </c>
      <c r="H537" t="s">
        <v>2375</v>
      </c>
      <c r="I537" t="s">
        <v>2374</v>
      </c>
      <c r="J537" t="str">
        <f>IF(COUNTIF(Table5[Country],Table310[Country])&gt;0,"Y","N")</f>
        <v>Y</v>
      </c>
      <c r="K537">
        <f>IF(Table310[[#This Row],[Adverse Media]]="Y",15,0)+IF(Table310[[#This Row],[PEP]]="Y",50,0)+IF(Table310[[#This Row],[Sanctions]]="Y",70,0)+IF(Table310[[#This Row],[High Risk Country]]="Y",25,0)</f>
        <v>90</v>
      </c>
      <c r="L537" t="str">
        <f>_xlfn.IFS(Table310[[#This Row],[Risk Score]]&gt;=85,"Critical",Table310[[#This Row],[Risk Score]]&gt;=65,"High",Table310[[#This Row],[Risk Score]]&gt;=45,"Medium",TRUE,"Low")</f>
        <v>Critical</v>
      </c>
    </row>
    <row r="538" spans="1:12" x14ac:dyDescent="0.3">
      <c r="A538" t="s">
        <v>924</v>
      </c>
      <c r="B538" t="s">
        <v>1271</v>
      </c>
      <c r="C538" t="s">
        <v>188</v>
      </c>
      <c r="D538" t="s">
        <v>247</v>
      </c>
      <c r="E538" t="s">
        <v>2076</v>
      </c>
      <c r="F538" t="s">
        <v>2305</v>
      </c>
      <c r="G538" t="s">
        <v>2375</v>
      </c>
      <c r="H538" t="s">
        <v>2375</v>
      </c>
      <c r="I538" t="s">
        <v>2374</v>
      </c>
      <c r="J538" t="str">
        <f>IF(COUNTIF(Table5[Country],Table310[Country])&gt;0,"Y","N")</f>
        <v>Y</v>
      </c>
      <c r="K538">
        <f>IF(Table310[[#This Row],[Adverse Media]]="Y",15,0)+IF(Table310[[#This Row],[PEP]]="Y",50,0)+IF(Table310[[#This Row],[Sanctions]]="Y",70,0)+IF(Table310[[#This Row],[High Risk Country]]="Y",25,0)</f>
        <v>90</v>
      </c>
      <c r="L538" t="str">
        <f>_xlfn.IFS(Table310[[#This Row],[Risk Score]]&gt;=85,"Critical",Table310[[#This Row],[Risk Score]]&gt;=65,"High",Table310[[#This Row],[Risk Score]]&gt;=45,"Medium",TRUE,"Low")</f>
        <v>Critical</v>
      </c>
    </row>
    <row r="539" spans="1:12" x14ac:dyDescent="0.3">
      <c r="A539" t="s">
        <v>925</v>
      </c>
      <c r="B539" t="s">
        <v>1272</v>
      </c>
      <c r="C539" t="s">
        <v>188</v>
      </c>
      <c r="D539" t="s">
        <v>248</v>
      </c>
      <c r="E539" t="s">
        <v>2077</v>
      </c>
      <c r="F539" t="s">
        <v>453</v>
      </c>
      <c r="G539" t="s">
        <v>2375</v>
      </c>
      <c r="H539" t="s">
        <v>2375</v>
      </c>
      <c r="I539" t="s">
        <v>2374</v>
      </c>
      <c r="J539" t="str">
        <f>IF(COUNTIF(Table5[Country],Table310[Country])&gt;0,"Y","N")</f>
        <v>N</v>
      </c>
      <c r="K539">
        <f>IF(Table310[[#This Row],[Adverse Media]]="Y",15,0)+IF(Table310[[#This Row],[PEP]]="Y",50,0)+IF(Table310[[#This Row],[Sanctions]]="Y",70,0)+IF(Table310[[#This Row],[High Risk Country]]="Y",25,0)</f>
        <v>65</v>
      </c>
      <c r="L539" t="str">
        <f>_xlfn.IFS(Table310[[#This Row],[Risk Score]]&gt;=85,"Critical",Table310[[#This Row],[Risk Score]]&gt;=65,"High",Table310[[#This Row],[Risk Score]]&gt;=45,"Medium",TRUE,"Low")</f>
        <v>High</v>
      </c>
    </row>
    <row r="540" spans="1:12" x14ac:dyDescent="0.3">
      <c r="A540" t="s">
        <v>926</v>
      </c>
      <c r="B540" t="s">
        <v>1273</v>
      </c>
      <c r="C540" t="s">
        <v>188</v>
      </c>
      <c r="D540" t="s">
        <v>195</v>
      </c>
      <c r="E540" t="s">
        <v>602</v>
      </c>
      <c r="F540" t="s">
        <v>314</v>
      </c>
      <c r="G540" t="s">
        <v>2374</v>
      </c>
      <c r="H540" t="s">
        <v>2374</v>
      </c>
      <c r="I540" t="s">
        <v>2375</v>
      </c>
      <c r="J540" t="str">
        <f>IF(COUNTIF(Table5[Country],Table310[Country])&gt;0,"Y","N")</f>
        <v>N</v>
      </c>
      <c r="K540">
        <f>IF(Table310[[#This Row],[Adverse Media]]="Y",15,0)+IF(Table310[[#This Row],[PEP]]="Y",50,0)+IF(Table310[[#This Row],[Sanctions]]="Y",70,0)+IF(Table310[[#This Row],[High Risk Country]]="Y",25,0)</f>
        <v>70</v>
      </c>
      <c r="L540" t="str">
        <f>_xlfn.IFS(Table310[[#This Row],[Risk Score]]&gt;=85,"Critical",Table310[[#This Row],[Risk Score]]&gt;=65,"High",Table310[[#This Row],[Risk Score]]&gt;=45,"Medium",TRUE,"Low")</f>
        <v>High</v>
      </c>
    </row>
    <row r="541" spans="1:12" x14ac:dyDescent="0.3">
      <c r="A541" t="s">
        <v>927</v>
      </c>
      <c r="B541" t="s">
        <v>1274</v>
      </c>
      <c r="C541" t="s">
        <v>188</v>
      </c>
      <c r="D541" t="s">
        <v>223</v>
      </c>
      <c r="E541" t="s">
        <v>2078</v>
      </c>
      <c r="F541" t="s">
        <v>2306</v>
      </c>
      <c r="G541" t="s">
        <v>2374</v>
      </c>
      <c r="H541" t="s">
        <v>2375</v>
      </c>
      <c r="I541" t="s">
        <v>2374</v>
      </c>
      <c r="J541" t="str">
        <f>IF(COUNTIF(Table5[Country],Table310[Country])&gt;0,"Y","N")</f>
        <v>N</v>
      </c>
      <c r="K541">
        <f>IF(Table310[[#This Row],[Adverse Media]]="Y",15,0)+IF(Table310[[#This Row],[PEP]]="Y",50,0)+IF(Table310[[#This Row],[Sanctions]]="Y",70,0)+IF(Table310[[#This Row],[High Risk Country]]="Y",25,0)</f>
        <v>50</v>
      </c>
      <c r="L541" t="str">
        <f>_xlfn.IFS(Table310[[#This Row],[Risk Score]]&gt;=85,"Critical",Table310[[#This Row],[Risk Score]]&gt;=65,"High",Table310[[#This Row],[Risk Score]]&gt;=45,"Medium",TRUE,"Low")</f>
        <v>Medium</v>
      </c>
    </row>
    <row r="542" spans="1:12" x14ac:dyDescent="0.3">
      <c r="A542" t="s">
        <v>928</v>
      </c>
      <c r="B542" t="s">
        <v>1275</v>
      </c>
      <c r="C542" t="s">
        <v>188</v>
      </c>
      <c r="D542" t="s">
        <v>221</v>
      </c>
      <c r="E542" t="s">
        <v>2079</v>
      </c>
      <c r="F542" t="s">
        <v>1930</v>
      </c>
      <c r="G542" t="s">
        <v>2374</v>
      </c>
      <c r="H542" t="s">
        <v>2374</v>
      </c>
      <c r="I542" t="s">
        <v>2374</v>
      </c>
      <c r="J542" t="str">
        <f>IF(COUNTIF(Table5[Country],Table310[Country])&gt;0,"Y","N")</f>
        <v>N</v>
      </c>
      <c r="K542">
        <f>IF(Table310[[#This Row],[Adverse Media]]="Y",15,0)+IF(Table310[[#This Row],[PEP]]="Y",50,0)+IF(Table310[[#This Row],[Sanctions]]="Y",70,0)+IF(Table310[[#This Row],[High Risk Country]]="Y",25,0)</f>
        <v>0</v>
      </c>
      <c r="L542" t="str">
        <f>_xlfn.IFS(Table310[[#This Row],[Risk Score]]&gt;=85,"Critical",Table310[[#This Row],[Risk Score]]&gt;=65,"High",Table310[[#This Row],[Risk Score]]&gt;=45,"Medium",TRUE,"Low")</f>
        <v>Low</v>
      </c>
    </row>
    <row r="543" spans="1:12" x14ac:dyDescent="0.3">
      <c r="A543" t="s">
        <v>929</v>
      </c>
      <c r="B543" t="s">
        <v>1276</v>
      </c>
      <c r="C543" t="s">
        <v>188</v>
      </c>
      <c r="D543" t="s">
        <v>236</v>
      </c>
      <c r="E543" t="s">
        <v>2080</v>
      </c>
      <c r="F543" t="s">
        <v>668</v>
      </c>
      <c r="G543" t="s">
        <v>2374</v>
      </c>
      <c r="H543" t="s">
        <v>2374</v>
      </c>
      <c r="I543" t="s">
        <v>2375</v>
      </c>
      <c r="J543" t="str">
        <f>IF(COUNTIF(Table5[Country],Table310[Country])&gt;0,"Y","N")</f>
        <v>Y</v>
      </c>
      <c r="K543">
        <f>IF(Table310[[#This Row],[Adverse Media]]="Y",15,0)+IF(Table310[[#This Row],[PEP]]="Y",50,0)+IF(Table310[[#This Row],[Sanctions]]="Y",70,0)+IF(Table310[[#This Row],[High Risk Country]]="Y",25,0)</f>
        <v>95</v>
      </c>
      <c r="L543" t="str">
        <f>_xlfn.IFS(Table310[[#This Row],[Risk Score]]&gt;=85,"Critical",Table310[[#This Row],[Risk Score]]&gt;=65,"High",Table310[[#This Row],[Risk Score]]&gt;=45,"Medium",TRUE,"Low")</f>
        <v>Critical</v>
      </c>
    </row>
    <row r="544" spans="1:12" x14ac:dyDescent="0.3">
      <c r="A544" t="s">
        <v>930</v>
      </c>
      <c r="B544" t="s">
        <v>1277</v>
      </c>
      <c r="C544" t="s">
        <v>188</v>
      </c>
      <c r="D544" t="s">
        <v>196</v>
      </c>
      <c r="E544" t="s">
        <v>2081</v>
      </c>
      <c r="F544" t="s">
        <v>409</v>
      </c>
      <c r="G544" t="s">
        <v>2375</v>
      </c>
      <c r="H544" t="s">
        <v>2374</v>
      </c>
      <c r="I544" t="s">
        <v>2374</v>
      </c>
      <c r="J544" t="str">
        <f>IF(COUNTIF(Table5[Country],Table310[Country])&gt;0,"Y","N")</f>
        <v>Y</v>
      </c>
      <c r="K544">
        <f>IF(Table310[[#This Row],[Adverse Media]]="Y",15,0)+IF(Table310[[#This Row],[PEP]]="Y",50,0)+IF(Table310[[#This Row],[Sanctions]]="Y",70,0)+IF(Table310[[#This Row],[High Risk Country]]="Y",25,0)</f>
        <v>40</v>
      </c>
      <c r="L544" t="str">
        <f>_xlfn.IFS(Table310[[#This Row],[Risk Score]]&gt;=85,"Critical",Table310[[#This Row],[Risk Score]]&gt;=65,"High",Table310[[#This Row],[Risk Score]]&gt;=45,"Medium",TRUE,"Low")</f>
        <v>Low</v>
      </c>
    </row>
    <row r="545" spans="1:12" x14ac:dyDescent="0.3">
      <c r="A545" t="s">
        <v>931</v>
      </c>
      <c r="B545" t="s">
        <v>1278</v>
      </c>
      <c r="C545" t="s">
        <v>188</v>
      </c>
      <c r="D545" t="s">
        <v>214</v>
      </c>
      <c r="E545" t="s">
        <v>2082</v>
      </c>
      <c r="F545" t="s">
        <v>1784</v>
      </c>
      <c r="G545" t="s">
        <v>2375</v>
      </c>
      <c r="H545" t="s">
        <v>2375</v>
      </c>
      <c r="I545" t="s">
        <v>2374</v>
      </c>
      <c r="J545" t="str">
        <f>IF(COUNTIF(Table5[Country],Table310[Country])&gt;0,"Y","N")</f>
        <v>N</v>
      </c>
      <c r="K545">
        <f>IF(Table310[[#This Row],[Adverse Media]]="Y",15,0)+IF(Table310[[#This Row],[PEP]]="Y",50,0)+IF(Table310[[#This Row],[Sanctions]]="Y",70,0)+IF(Table310[[#This Row],[High Risk Country]]="Y",25,0)</f>
        <v>65</v>
      </c>
      <c r="L545" t="str">
        <f>_xlfn.IFS(Table310[[#This Row],[Risk Score]]&gt;=85,"Critical",Table310[[#This Row],[Risk Score]]&gt;=65,"High",Table310[[#This Row],[Risk Score]]&gt;=45,"Medium",TRUE,"Low")</f>
        <v>High</v>
      </c>
    </row>
    <row r="546" spans="1:12" x14ac:dyDescent="0.3">
      <c r="A546" t="s">
        <v>932</v>
      </c>
      <c r="B546" t="s">
        <v>1279</v>
      </c>
      <c r="C546" t="s">
        <v>188</v>
      </c>
      <c r="D546" t="s">
        <v>213</v>
      </c>
      <c r="E546" t="s">
        <v>2083</v>
      </c>
      <c r="F546" t="s">
        <v>2307</v>
      </c>
      <c r="G546" t="s">
        <v>2374</v>
      </c>
      <c r="H546" t="s">
        <v>2375</v>
      </c>
      <c r="I546" t="s">
        <v>2375</v>
      </c>
      <c r="J546" t="str">
        <f>IF(COUNTIF(Table5[Country],Table310[Country])&gt;0,"Y","N")</f>
        <v>Y</v>
      </c>
      <c r="K546">
        <f>IF(Table310[[#This Row],[Adverse Media]]="Y",15,0)+IF(Table310[[#This Row],[PEP]]="Y",50,0)+IF(Table310[[#This Row],[Sanctions]]="Y",70,0)+IF(Table310[[#This Row],[High Risk Country]]="Y",25,0)</f>
        <v>145</v>
      </c>
      <c r="L546" t="str">
        <f>_xlfn.IFS(Table310[[#This Row],[Risk Score]]&gt;=85,"Critical",Table310[[#This Row],[Risk Score]]&gt;=65,"High",Table310[[#This Row],[Risk Score]]&gt;=45,"Medium",TRUE,"Low")</f>
        <v>Critical</v>
      </c>
    </row>
    <row r="547" spans="1:12" x14ac:dyDescent="0.3">
      <c r="A547" t="s">
        <v>933</v>
      </c>
      <c r="B547" t="s">
        <v>1280</v>
      </c>
      <c r="C547" t="s">
        <v>188</v>
      </c>
      <c r="D547" t="s">
        <v>203</v>
      </c>
      <c r="E547" t="s">
        <v>2084</v>
      </c>
      <c r="F547" t="s">
        <v>2308</v>
      </c>
      <c r="G547" t="s">
        <v>2375</v>
      </c>
      <c r="H547" t="s">
        <v>2375</v>
      </c>
      <c r="I547" t="s">
        <v>2374</v>
      </c>
      <c r="J547" t="str">
        <f>IF(COUNTIF(Table5[Country],Table310[Country])&gt;0,"Y","N")</f>
        <v>Y</v>
      </c>
      <c r="K547">
        <f>IF(Table310[[#This Row],[Adverse Media]]="Y",15,0)+IF(Table310[[#This Row],[PEP]]="Y",50,0)+IF(Table310[[#This Row],[Sanctions]]="Y",70,0)+IF(Table310[[#This Row],[High Risk Country]]="Y",25,0)</f>
        <v>90</v>
      </c>
      <c r="L547" t="str">
        <f>_xlfn.IFS(Table310[[#This Row],[Risk Score]]&gt;=85,"Critical",Table310[[#This Row],[Risk Score]]&gt;=65,"High",Table310[[#This Row],[Risk Score]]&gt;=45,"Medium",TRUE,"Low")</f>
        <v>Critical</v>
      </c>
    </row>
    <row r="548" spans="1:12" x14ac:dyDescent="0.3">
      <c r="A548" t="s">
        <v>934</v>
      </c>
      <c r="B548" t="s">
        <v>1281</v>
      </c>
      <c r="C548" t="s">
        <v>188</v>
      </c>
      <c r="D548" t="s">
        <v>233</v>
      </c>
      <c r="E548" t="s">
        <v>2085</v>
      </c>
      <c r="F548" t="s">
        <v>407</v>
      </c>
      <c r="G548" t="s">
        <v>2375</v>
      </c>
      <c r="H548" t="s">
        <v>2375</v>
      </c>
      <c r="I548" t="s">
        <v>2375</v>
      </c>
      <c r="J548" t="str">
        <f>IF(COUNTIF(Table5[Country],Table310[Country])&gt;0,"Y","N")</f>
        <v>N</v>
      </c>
      <c r="K548">
        <f>IF(Table310[[#This Row],[Adverse Media]]="Y",15,0)+IF(Table310[[#This Row],[PEP]]="Y",50,0)+IF(Table310[[#This Row],[Sanctions]]="Y",70,0)+IF(Table310[[#This Row],[High Risk Country]]="Y",25,0)</f>
        <v>135</v>
      </c>
      <c r="L548" t="str">
        <f>_xlfn.IFS(Table310[[#This Row],[Risk Score]]&gt;=85,"Critical",Table310[[#This Row],[Risk Score]]&gt;=65,"High",Table310[[#This Row],[Risk Score]]&gt;=45,"Medium",TRUE,"Low")</f>
        <v>Critical</v>
      </c>
    </row>
    <row r="549" spans="1:12" x14ac:dyDescent="0.3">
      <c r="A549" t="s">
        <v>935</v>
      </c>
      <c r="B549" t="s">
        <v>1282</v>
      </c>
      <c r="C549" t="s">
        <v>188</v>
      </c>
      <c r="D549" t="s">
        <v>221</v>
      </c>
      <c r="E549" t="s">
        <v>1964</v>
      </c>
      <c r="F549" t="s">
        <v>2309</v>
      </c>
      <c r="G549" t="s">
        <v>2374</v>
      </c>
      <c r="H549" t="s">
        <v>2375</v>
      </c>
      <c r="I549" t="s">
        <v>2375</v>
      </c>
      <c r="J549" t="str">
        <f>IF(COUNTIF(Table5[Country],Table310[Country])&gt;0,"Y","N")</f>
        <v>N</v>
      </c>
      <c r="K549">
        <f>IF(Table310[[#This Row],[Adverse Media]]="Y",15,0)+IF(Table310[[#This Row],[PEP]]="Y",50,0)+IF(Table310[[#This Row],[Sanctions]]="Y",70,0)+IF(Table310[[#This Row],[High Risk Country]]="Y",25,0)</f>
        <v>120</v>
      </c>
      <c r="L549" t="str">
        <f>_xlfn.IFS(Table310[[#This Row],[Risk Score]]&gt;=85,"Critical",Table310[[#This Row],[Risk Score]]&gt;=65,"High",Table310[[#This Row],[Risk Score]]&gt;=45,"Medium",TRUE,"Low")</f>
        <v>Critical</v>
      </c>
    </row>
    <row r="550" spans="1:12" x14ac:dyDescent="0.3">
      <c r="A550" t="s">
        <v>936</v>
      </c>
      <c r="B550" t="s">
        <v>1283</v>
      </c>
      <c r="C550" t="s">
        <v>188</v>
      </c>
      <c r="D550" t="s">
        <v>191</v>
      </c>
      <c r="E550" t="s">
        <v>319</v>
      </c>
      <c r="F550" t="s">
        <v>2310</v>
      </c>
      <c r="G550" t="s">
        <v>2375</v>
      </c>
      <c r="H550" t="s">
        <v>2375</v>
      </c>
      <c r="I550" t="s">
        <v>2374</v>
      </c>
      <c r="J550" t="str">
        <f>IF(COUNTIF(Table5[Country],Table310[Country])&gt;0,"Y","N")</f>
        <v>N</v>
      </c>
      <c r="K550">
        <f>IF(Table310[[#This Row],[Adverse Media]]="Y",15,0)+IF(Table310[[#This Row],[PEP]]="Y",50,0)+IF(Table310[[#This Row],[Sanctions]]="Y",70,0)+IF(Table310[[#This Row],[High Risk Country]]="Y",25,0)</f>
        <v>65</v>
      </c>
      <c r="L550" t="str">
        <f>_xlfn.IFS(Table310[[#This Row],[Risk Score]]&gt;=85,"Critical",Table310[[#This Row],[Risk Score]]&gt;=65,"High",Table310[[#This Row],[Risk Score]]&gt;=45,"Medium",TRUE,"Low")</f>
        <v>High</v>
      </c>
    </row>
    <row r="551" spans="1:12" x14ac:dyDescent="0.3">
      <c r="A551" t="s">
        <v>937</v>
      </c>
      <c r="B551" t="s">
        <v>1284</v>
      </c>
      <c r="C551" t="s">
        <v>188</v>
      </c>
      <c r="D551" t="s">
        <v>190</v>
      </c>
      <c r="E551" t="s">
        <v>2086</v>
      </c>
      <c r="F551" t="s">
        <v>496</v>
      </c>
      <c r="G551" t="s">
        <v>2374</v>
      </c>
      <c r="H551" t="s">
        <v>2375</v>
      </c>
      <c r="I551" t="s">
        <v>2374</v>
      </c>
      <c r="J551" t="str">
        <f>IF(COUNTIF(Table5[Country],Table310[Country])&gt;0,"Y","N")</f>
        <v>N</v>
      </c>
      <c r="K551">
        <f>IF(Table310[[#This Row],[Adverse Media]]="Y",15,0)+IF(Table310[[#This Row],[PEP]]="Y",50,0)+IF(Table310[[#This Row],[Sanctions]]="Y",70,0)+IF(Table310[[#This Row],[High Risk Country]]="Y",25,0)</f>
        <v>50</v>
      </c>
      <c r="L551" t="str">
        <f>_xlfn.IFS(Table310[[#This Row],[Risk Score]]&gt;=85,"Critical",Table310[[#This Row],[Risk Score]]&gt;=65,"High",Table310[[#This Row],[Risk Score]]&gt;=45,"Medium",TRUE,"Low")</f>
        <v>Medium</v>
      </c>
    </row>
    <row r="552" spans="1:12" x14ac:dyDescent="0.3">
      <c r="A552" t="s">
        <v>938</v>
      </c>
      <c r="B552" t="s">
        <v>1285</v>
      </c>
      <c r="C552" t="s">
        <v>188</v>
      </c>
      <c r="D552" t="s">
        <v>228</v>
      </c>
      <c r="E552" t="s">
        <v>1965</v>
      </c>
      <c r="F552" t="s">
        <v>2311</v>
      </c>
      <c r="G552" t="s">
        <v>2374</v>
      </c>
      <c r="H552" t="s">
        <v>2374</v>
      </c>
      <c r="I552" t="s">
        <v>2374</v>
      </c>
      <c r="J552" t="str">
        <f>IF(COUNTIF(Table5[Country],Table310[Country])&gt;0,"Y","N")</f>
        <v>N</v>
      </c>
      <c r="K552">
        <f>IF(Table310[[#This Row],[Adverse Media]]="Y",15,0)+IF(Table310[[#This Row],[PEP]]="Y",50,0)+IF(Table310[[#This Row],[Sanctions]]="Y",70,0)+IF(Table310[[#This Row],[High Risk Country]]="Y",25,0)</f>
        <v>0</v>
      </c>
      <c r="L552" t="str">
        <f>_xlfn.IFS(Table310[[#This Row],[Risk Score]]&gt;=85,"Critical",Table310[[#This Row],[Risk Score]]&gt;=65,"High",Table310[[#This Row],[Risk Score]]&gt;=45,"Medium",TRUE,"Low")</f>
        <v>Low</v>
      </c>
    </row>
    <row r="553" spans="1:12" x14ac:dyDescent="0.3">
      <c r="A553" t="s">
        <v>939</v>
      </c>
      <c r="B553" t="s">
        <v>1286</v>
      </c>
      <c r="C553" t="s">
        <v>188</v>
      </c>
      <c r="D553" t="s">
        <v>249</v>
      </c>
      <c r="E553" t="s">
        <v>2087</v>
      </c>
      <c r="F553" t="s">
        <v>2312</v>
      </c>
      <c r="G553" t="s">
        <v>2375</v>
      </c>
      <c r="H553" t="s">
        <v>2374</v>
      </c>
      <c r="I553" t="s">
        <v>2374</v>
      </c>
      <c r="J553" t="str">
        <f>IF(COUNTIF(Table5[Country],Table310[Country])&gt;0,"Y","N")</f>
        <v>N</v>
      </c>
      <c r="K553">
        <f>IF(Table310[[#This Row],[Adverse Media]]="Y",15,0)+IF(Table310[[#This Row],[PEP]]="Y",50,0)+IF(Table310[[#This Row],[Sanctions]]="Y",70,0)+IF(Table310[[#This Row],[High Risk Country]]="Y",25,0)</f>
        <v>15</v>
      </c>
      <c r="L553" t="str">
        <f>_xlfn.IFS(Table310[[#This Row],[Risk Score]]&gt;=85,"Critical",Table310[[#This Row],[Risk Score]]&gt;=65,"High",Table310[[#This Row],[Risk Score]]&gt;=45,"Medium",TRUE,"Low")</f>
        <v>Low</v>
      </c>
    </row>
    <row r="554" spans="1:12" x14ac:dyDescent="0.3">
      <c r="A554" t="s">
        <v>940</v>
      </c>
      <c r="B554" t="s">
        <v>1287</v>
      </c>
      <c r="C554" t="s">
        <v>188</v>
      </c>
      <c r="D554" t="s">
        <v>191</v>
      </c>
      <c r="E554" t="s">
        <v>2088</v>
      </c>
      <c r="F554" t="s">
        <v>2313</v>
      </c>
      <c r="G554" t="s">
        <v>2375</v>
      </c>
      <c r="H554" t="s">
        <v>2374</v>
      </c>
      <c r="I554" t="s">
        <v>2374</v>
      </c>
      <c r="J554" t="str">
        <f>IF(COUNTIF(Table5[Country],Table310[Country])&gt;0,"Y","N")</f>
        <v>N</v>
      </c>
      <c r="K554">
        <f>IF(Table310[[#This Row],[Adverse Media]]="Y",15,0)+IF(Table310[[#This Row],[PEP]]="Y",50,0)+IF(Table310[[#This Row],[Sanctions]]="Y",70,0)+IF(Table310[[#This Row],[High Risk Country]]="Y",25,0)</f>
        <v>15</v>
      </c>
      <c r="L554" t="str">
        <f>_xlfn.IFS(Table310[[#This Row],[Risk Score]]&gt;=85,"Critical",Table310[[#This Row],[Risk Score]]&gt;=65,"High",Table310[[#This Row],[Risk Score]]&gt;=45,"Medium",TRUE,"Low")</f>
        <v>Low</v>
      </c>
    </row>
    <row r="555" spans="1:12" x14ac:dyDescent="0.3">
      <c r="A555" t="s">
        <v>941</v>
      </c>
      <c r="B555" t="s">
        <v>1288</v>
      </c>
      <c r="C555" t="s">
        <v>188</v>
      </c>
      <c r="D555" t="s">
        <v>218</v>
      </c>
      <c r="E555" t="s">
        <v>2089</v>
      </c>
      <c r="F555" t="s">
        <v>2314</v>
      </c>
      <c r="G555" t="s">
        <v>2375</v>
      </c>
      <c r="H555" t="s">
        <v>2374</v>
      </c>
      <c r="I555" t="s">
        <v>2374</v>
      </c>
      <c r="J555" t="str">
        <f>IF(COUNTIF(Table5[Country],Table310[Country])&gt;0,"Y","N")</f>
        <v>N</v>
      </c>
      <c r="K555">
        <f>IF(Table310[[#This Row],[Adverse Media]]="Y",15,0)+IF(Table310[[#This Row],[PEP]]="Y",50,0)+IF(Table310[[#This Row],[Sanctions]]="Y",70,0)+IF(Table310[[#This Row],[High Risk Country]]="Y",25,0)</f>
        <v>15</v>
      </c>
      <c r="L555" t="str">
        <f>_xlfn.IFS(Table310[[#This Row],[Risk Score]]&gt;=85,"Critical",Table310[[#This Row],[Risk Score]]&gt;=65,"High",Table310[[#This Row],[Risk Score]]&gt;=45,"Medium",TRUE,"Low")</f>
        <v>Low</v>
      </c>
    </row>
    <row r="556" spans="1:12" x14ac:dyDescent="0.3">
      <c r="A556" t="s">
        <v>942</v>
      </c>
      <c r="B556" t="s">
        <v>1289</v>
      </c>
      <c r="C556" t="s">
        <v>188</v>
      </c>
      <c r="D556" t="s">
        <v>245</v>
      </c>
      <c r="E556" t="s">
        <v>2090</v>
      </c>
      <c r="F556" t="s">
        <v>2315</v>
      </c>
      <c r="G556" t="s">
        <v>2374</v>
      </c>
      <c r="H556" t="s">
        <v>2374</v>
      </c>
      <c r="I556" t="s">
        <v>2374</v>
      </c>
      <c r="J556" t="str">
        <f>IF(COUNTIF(Table5[Country],Table310[Country])&gt;0,"Y","N")</f>
        <v>Y</v>
      </c>
      <c r="K556">
        <f>IF(Table310[[#This Row],[Adverse Media]]="Y",15,0)+IF(Table310[[#This Row],[PEP]]="Y",50,0)+IF(Table310[[#This Row],[Sanctions]]="Y",70,0)+IF(Table310[[#This Row],[High Risk Country]]="Y",25,0)</f>
        <v>25</v>
      </c>
      <c r="L556" t="str">
        <f>_xlfn.IFS(Table310[[#This Row],[Risk Score]]&gt;=85,"Critical",Table310[[#This Row],[Risk Score]]&gt;=65,"High",Table310[[#This Row],[Risk Score]]&gt;=45,"Medium",TRUE,"Low")</f>
        <v>Low</v>
      </c>
    </row>
    <row r="557" spans="1:12" x14ac:dyDescent="0.3">
      <c r="A557" t="s">
        <v>943</v>
      </c>
      <c r="B557" t="s">
        <v>1290</v>
      </c>
      <c r="C557" t="s">
        <v>188</v>
      </c>
      <c r="D557" t="s">
        <v>244</v>
      </c>
      <c r="E557" t="s">
        <v>2091</v>
      </c>
      <c r="F557" t="s">
        <v>2316</v>
      </c>
      <c r="G557" t="s">
        <v>2374</v>
      </c>
      <c r="H557" t="s">
        <v>2374</v>
      </c>
      <c r="I557" t="s">
        <v>2374</v>
      </c>
      <c r="J557" t="str">
        <f>IF(COUNTIF(Table5[Country],Table310[Country])&gt;0,"Y","N")</f>
        <v>Y</v>
      </c>
      <c r="K557">
        <f>IF(Table310[[#This Row],[Adverse Media]]="Y",15,0)+IF(Table310[[#This Row],[PEP]]="Y",50,0)+IF(Table310[[#This Row],[Sanctions]]="Y",70,0)+IF(Table310[[#This Row],[High Risk Country]]="Y",25,0)</f>
        <v>25</v>
      </c>
      <c r="L557" t="str">
        <f>_xlfn.IFS(Table310[[#This Row],[Risk Score]]&gt;=85,"Critical",Table310[[#This Row],[Risk Score]]&gt;=65,"High",Table310[[#This Row],[Risk Score]]&gt;=45,"Medium",TRUE,"Low")</f>
        <v>Low</v>
      </c>
    </row>
    <row r="558" spans="1:12" x14ac:dyDescent="0.3">
      <c r="A558" t="s">
        <v>944</v>
      </c>
      <c r="B558" t="s">
        <v>1291</v>
      </c>
      <c r="C558" t="s">
        <v>188</v>
      </c>
      <c r="D558" t="s">
        <v>201</v>
      </c>
      <c r="E558" t="s">
        <v>2092</v>
      </c>
      <c r="F558" t="s">
        <v>2317</v>
      </c>
      <c r="G558" t="s">
        <v>2375</v>
      </c>
      <c r="H558" t="s">
        <v>2374</v>
      </c>
      <c r="I558" t="s">
        <v>2374</v>
      </c>
      <c r="J558" t="str">
        <f>IF(COUNTIF(Table5[Country],Table310[Country])&gt;0,"Y","N")</f>
        <v>N</v>
      </c>
      <c r="K558">
        <f>IF(Table310[[#This Row],[Adverse Media]]="Y",15,0)+IF(Table310[[#This Row],[PEP]]="Y",50,0)+IF(Table310[[#This Row],[Sanctions]]="Y",70,0)+IF(Table310[[#This Row],[High Risk Country]]="Y",25,0)</f>
        <v>15</v>
      </c>
      <c r="L558" t="str">
        <f>_xlfn.IFS(Table310[[#This Row],[Risk Score]]&gt;=85,"Critical",Table310[[#This Row],[Risk Score]]&gt;=65,"High",Table310[[#This Row],[Risk Score]]&gt;=45,"Medium",TRUE,"Low")</f>
        <v>Low</v>
      </c>
    </row>
    <row r="559" spans="1:12" x14ac:dyDescent="0.3">
      <c r="A559" t="s">
        <v>945</v>
      </c>
      <c r="B559" t="s">
        <v>1292</v>
      </c>
      <c r="C559" t="s">
        <v>188</v>
      </c>
      <c r="D559" t="s">
        <v>229</v>
      </c>
      <c r="E559" t="s">
        <v>512</v>
      </c>
      <c r="F559" t="s">
        <v>2010</v>
      </c>
      <c r="G559" t="s">
        <v>2374</v>
      </c>
      <c r="H559" t="s">
        <v>2374</v>
      </c>
      <c r="I559" t="s">
        <v>2374</v>
      </c>
      <c r="J559" t="str">
        <f>IF(COUNTIF(Table5[Country],Table310[Country])&gt;0,"Y","N")</f>
        <v>N</v>
      </c>
      <c r="K559">
        <f>IF(Table310[[#This Row],[Adverse Media]]="Y",15,0)+IF(Table310[[#This Row],[PEP]]="Y",50,0)+IF(Table310[[#This Row],[Sanctions]]="Y",70,0)+IF(Table310[[#This Row],[High Risk Country]]="Y",25,0)</f>
        <v>0</v>
      </c>
      <c r="L559" t="str">
        <f>_xlfn.IFS(Table310[[#This Row],[Risk Score]]&gt;=85,"Critical",Table310[[#This Row],[Risk Score]]&gt;=65,"High",Table310[[#This Row],[Risk Score]]&gt;=45,"Medium",TRUE,"Low")</f>
        <v>Low</v>
      </c>
    </row>
    <row r="560" spans="1:12" x14ac:dyDescent="0.3">
      <c r="A560" t="s">
        <v>946</v>
      </c>
      <c r="B560" t="s">
        <v>1293</v>
      </c>
      <c r="C560" t="s">
        <v>188</v>
      </c>
      <c r="D560" t="s">
        <v>245</v>
      </c>
      <c r="E560" t="s">
        <v>2093</v>
      </c>
      <c r="F560" t="s">
        <v>2318</v>
      </c>
      <c r="G560" t="s">
        <v>2374</v>
      </c>
      <c r="H560" t="s">
        <v>2374</v>
      </c>
      <c r="I560" t="s">
        <v>2374</v>
      </c>
      <c r="J560" t="str">
        <f>IF(COUNTIF(Table5[Country],Table310[Country])&gt;0,"Y","N")</f>
        <v>Y</v>
      </c>
      <c r="K560">
        <f>IF(Table310[[#This Row],[Adverse Media]]="Y",15,0)+IF(Table310[[#This Row],[PEP]]="Y",50,0)+IF(Table310[[#This Row],[Sanctions]]="Y",70,0)+IF(Table310[[#This Row],[High Risk Country]]="Y",25,0)</f>
        <v>25</v>
      </c>
      <c r="L560" t="str">
        <f>_xlfn.IFS(Table310[[#This Row],[Risk Score]]&gt;=85,"Critical",Table310[[#This Row],[Risk Score]]&gt;=65,"High",Table310[[#This Row],[Risk Score]]&gt;=45,"Medium",TRUE,"Low")</f>
        <v>Low</v>
      </c>
    </row>
    <row r="561" spans="1:12" x14ac:dyDescent="0.3">
      <c r="A561" t="s">
        <v>947</v>
      </c>
      <c r="B561" t="s">
        <v>1294</v>
      </c>
      <c r="C561" t="s">
        <v>188</v>
      </c>
      <c r="D561" t="s">
        <v>219</v>
      </c>
      <c r="E561" t="s">
        <v>2094</v>
      </c>
      <c r="F561" t="s">
        <v>2319</v>
      </c>
      <c r="G561" t="s">
        <v>2375</v>
      </c>
      <c r="H561" t="s">
        <v>2374</v>
      </c>
      <c r="I561" t="s">
        <v>2374</v>
      </c>
      <c r="J561" t="str">
        <f>IF(COUNTIF(Table5[Country],Table310[Country])&gt;0,"Y","N")</f>
        <v>Y</v>
      </c>
      <c r="K561">
        <f>IF(Table310[[#This Row],[Adverse Media]]="Y",15,0)+IF(Table310[[#This Row],[PEP]]="Y",50,0)+IF(Table310[[#This Row],[Sanctions]]="Y",70,0)+IF(Table310[[#This Row],[High Risk Country]]="Y",25,0)</f>
        <v>40</v>
      </c>
      <c r="L561" t="str">
        <f>_xlfn.IFS(Table310[[#This Row],[Risk Score]]&gt;=85,"Critical",Table310[[#This Row],[Risk Score]]&gt;=65,"High",Table310[[#This Row],[Risk Score]]&gt;=45,"Medium",TRUE,"Low")</f>
        <v>Low</v>
      </c>
    </row>
    <row r="562" spans="1:12" x14ac:dyDescent="0.3">
      <c r="A562" t="s">
        <v>948</v>
      </c>
      <c r="B562" t="s">
        <v>1295</v>
      </c>
      <c r="C562" t="s">
        <v>188</v>
      </c>
      <c r="D562" t="s">
        <v>191</v>
      </c>
      <c r="E562" t="s">
        <v>2095</v>
      </c>
      <c r="F562" t="s">
        <v>605</v>
      </c>
      <c r="G562" t="s">
        <v>2375</v>
      </c>
      <c r="H562" t="s">
        <v>2374</v>
      </c>
      <c r="I562" t="s">
        <v>2374</v>
      </c>
      <c r="J562" t="str">
        <f>IF(COUNTIF(Table5[Country],Table310[Country])&gt;0,"Y","N")</f>
        <v>N</v>
      </c>
      <c r="K562">
        <f>IF(Table310[[#This Row],[Adverse Media]]="Y",15,0)+IF(Table310[[#This Row],[PEP]]="Y",50,0)+IF(Table310[[#This Row],[Sanctions]]="Y",70,0)+IF(Table310[[#This Row],[High Risk Country]]="Y",25,0)</f>
        <v>15</v>
      </c>
      <c r="L562" t="str">
        <f>_xlfn.IFS(Table310[[#This Row],[Risk Score]]&gt;=85,"Critical",Table310[[#This Row],[Risk Score]]&gt;=65,"High",Table310[[#This Row],[Risk Score]]&gt;=45,"Medium",TRUE,"Low")</f>
        <v>Low</v>
      </c>
    </row>
    <row r="563" spans="1:12" x14ac:dyDescent="0.3">
      <c r="A563" t="s">
        <v>949</v>
      </c>
      <c r="B563" t="s">
        <v>1296</v>
      </c>
      <c r="C563" t="s">
        <v>188</v>
      </c>
      <c r="D563" t="s">
        <v>240</v>
      </c>
      <c r="E563" t="s">
        <v>2096</v>
      </c>
      <c r="F563" t="s">
        <v>2320</v>
      </c>
      <c r="G563" t="s">
        <v>2375</v>
      </c>
      <c r="H563" t="s">
        <v>2374</v>
      </c>
      <c r="I563" t="s">
        <v>2374</v>
      </c>
      <c r="J563" t="str">
        <f>IF(COUNTIF(Table5[Country],Table310[Country])&gt;0,"Y","N")</f>
        <v>N</v>
      </c>
      <c r="K563">
        <f>IF(Table310[[#This Row],[Adverse Media]]="Y",15,0)+IF(Table310[[#This Row],[PEP]]="Y",50,0)+IF(Table310[[#This Row],[Sanctions]]="Y",70,0)+IF(Table310[[#This Row],[High Risk Country]]="Y",25,0)</f>
        <v>15</v>
      </c>
      <c r="L563" t="str">
        <f>_xlfn.IFS(Table310[[#This Row],[Risk Score]]&gt;=85,"Critical",Table310[[#This Row],[Risk Score]]&gt;=65,"High",Table310[[#This Row],[Risk Score]]&gt;=45,"Medium",TRUE,"Low")</f>
        <v>Low</v>
      </c>
    </row>
    <row r="564" spans="1:12" x14ac:dyDescent="0.3">
      <c r="A564" t="s">
        <v>950</v>
      </c>
      <c r="B564" t="s">
        <v>1297</v>
      </c>
      <c r="C564" t="s">
        <v>188</v>
      </c>
      <c r="D564" t="s">
        <v>227</v>
      </c>
      <c r="E564" t="s">
        <v>2097</v>
      </c>
      <c r="F564" t="s">
        <v>2321</v>
      </c>
      <c r="G564" t="s">
        <v>2374</v>
      </c>
      <c r="H564" t="s">
        <v>2374</v>
      </c>
      <c r="I564" t="s">
        <v>2374</v>
      </c>
      <c r="J564" t="str">
        <f>IF(COUNTIF(Table5[Country],Table310[Country])&gt;0,"Y","N")</f>
        <v>N</v>
      </c>
      <c r="K564">
        <f>IF(Table310[[#This Row],[Adverse Media]]="Y",15,0)+IF(Table310[[#This Row],[PEP]]="Y",50,0)+IF(Table310[[#This Row],[Sanctions]]="Y",70,0)+IF(Table310[[#This Row],[High Risk Country]]="Y",25,0)</f>
        <v>0</v>
      </c>
      <c r="L564" t="str">
        <f>_xlfn.IFS(Table310[[#This Row],[Risk Score]]&gt;=85,"Critical",Table310[[#This Row],[Risk Score]]&gt;=65,"High",Table310[[#This Row],[Risk Score]]&gt;=45,"Medium",TRUE,"Low")</f>
        <v>Low</v>
      </c>
    </row>
    <row r="565" spans="1:12" x14ac:dyDescent="0.3">
      <c r="A565" t="s">
        <v>951</v>
      </c>
      <c r="B565" t="s">
        <v>1298</v>
      </c>
      <c r="C565" t="s">
        <v>188</v>
      </c>
      <c r="D565" t="s">
        <v>239</v>
      </c>
      <c r="E565" t="s">
        <v>2056</v>
      </c>
      <c r="F565" t="s">
        <v>2010</v>
      </c>
      <c r="G565" t="s">
        <v>2375</v>
      </c>
      <c r="H565" t="s">
        <v>2374</v>
      </c>
      <c r="I565" t="s">
        <v>2374</v>
      </c>
      <c r="J565" t="str">
        <f>IF(COUNTIF(Table5[Country],Table310[Country])&gt;0,"Y","N")</f>
        <v>N</v>
      </c>
      <c r="K565">
        <f>IF(Table310[[#This Row],[Adverse Media]]="Y",15,0)+IF(Table310[[#This Row],[PEP]]="Y",50,0)+IF(Table310[[#This Row],[Sanctions]]="Y",70,0)+IF(Table310[[#This Row],[High Risk Country]]="Y",25,0)</f>
        <v>15</v>
      </c>
      <c r="L565" t="str">
        <f>_xlfn.IFS(Table310[[#This Row],[Risk Score]]&gt;=85,"Critical",Table310[[#This Row],[Risk Score]]&gt;=65,"High",Table310[[#This Row],[Risk Score]]&gt;=45,"Medium",TRUE,"Low")</f>
        <v>Low</v>
      </c>
    </row>
    <row r="566" spans="1:12" x14ac:dyDescent="0.3">
      <c r="A566" t="s">
        <v>952</v>
      </c>
      <c r="B566" t="s">
        <v>1299</v>
      </c>
      <c r="C566" t="s">
        <v>188</v>
      </c>
      <c r="D566" t="s">
        <v>215</v>
      </c>
      <c r="E566" t="s">
        <v>2098</v>
      </c>
      <c r="F566" t="s">
        <v>2322</v>
      </c>
      <c r="G566" t="s">
        <v>2374</v>
      </c>
      <c r="H566" t="s">
        <v>2374</v>
      </c>
      <c r="I566" t="s">
        <v>2374</v>
      </c>
      <c r="J566" t="str">
        <f>IF(COUNTIF(Table5[Country],Table310[Country])&gt;0,"Y","N")</f>
        <v>Y</v>
      </c>
      <c r="K566">
        <f>IF(Table310[[#This Row],[Adverse Media]]="Y",15,0)+IF(Table310[[#This Row],[PEP]]="Y",50,0)+IF(Table310[[#This Row],[Sanctions]]="Y",70,0)+IF(Table310[[#This Row],[High Risk Country]]="Y",25,0)</f>
        <v>25</v>
      </c>
      <c r="L566" t="str">
        <f>_xlfn.IFS(Table310[[#This Row],[Risk Score]]&gt;=85,"Critical",Table310[[#This Row],[Risk Score]]&gt;=65,"High",Table310[[#This Row],[Risk Score]]&gt;=45,"Medium",TRUE,"Low")</f>
        <v>Low</v>
      </c>
    </row>
    <row r="567" spans="1:12" x14ac:dyDescent="0.3">
      <c r="A567" t="s">
        <v>953</v>
      </c>
      <c r="B567" t="s">
        <v>1300</v>
      </c>
      <c r="C567" t="s">
        <v>188</v>
      </c>
      <c r="D567" t="s">
        <v>227</v>
      </c>
      <c r="E567" t="s">
        <v>1783</v>
      </c>
      <c r="F567" t="s">
        <v>2323</v>
      </c>
      <c r="G567" t="s">
        <v>2374</v>
      </c>
      <c r="H567" t="s">
        <v>2374</v>
      </c>
      <c r="I567" t="s">
        <v>2374</v>
      </c>
      <c r="J567" t="str">
        <f>IF(COUNTIF(Table5[Country],Table310[Country])&gt;0,"Y","N")</f>
        <v>N</v>
      </c>
      <c r="K567">
        <f>IF(Table310[[#This Row],[Adverse Media]]="Y",15,0)+IF(Table310[[#This Row],[PEP]]="Y",50,0)+IF(Table310[[#This Row],[Sanctions]]="Y",70,0)+IF(Table310[[#This Row],[High Risk Country]]="Y",25,0)</f>
        <v>0</v>
      </c>
      <c r="L567" t="str">
        <f>_xlfn.IFS(Table310[[#This Row],[Risk Score]]&gt;=85,"Critical",Table310[[#This Row],[Risk Score]]&gt;=65,"High",Table310[[#This Row],[Risk Score]]&gt;=45,"Medium",TRUE,"Low")</f>
        <v>Low</v>
      </c>
    </row>
    <row r="568" spans="1:12" x14ac:dyDescent="0.3">
      <c r="A568" t="s">
        <v>954</v>
      </c>
      <c r="B568" t="s">
        <v>1301</v>
      </c>
      <c r="C568" t="s">
        <v>188</v>
      </c>
      <c r="D568" t="s">
        <v>229</v>
      </c>
      <c r="E568" t="s">
        <v>2099</v>
      </c>
      <c r="F568" t="s">
        <v>2023</v>
      </c>
      <c r="G568" t="s">
        <v>2374</v>
      </c>
      <c r="H568" t="s">
        <v>2374</v>
      </c>
      <c r="I568" t="s">
        <v>2375</v>
      </c>
      <c r="J568" t="str">
        <f>IF(COUNTIF(Table5[Country],Table310[Country])&gt;0,"Y","N")</f>
        <v>N</v>
      </c>
      <c r="K568">
        <f>IF(Table310[[#This Row],[Adverse Media]]="Y",15,0)+IF(Table310[[#This Row],[PEP]]="Y",50,0)+IF(Table310[[#This Row],[Sanctions]]="Y",70,0)+IF(Table310[[#This Row],[High Risk Country]]="Y",25,0)</f>
        <v>70</v>
      </c>
      <c r="L568" t="str">
        <f>_xlfn.IFS(Table310[[#This Row],[Risk Score]]&gt;=85,"Critical",Table310[[#This Row],[Risk Score]]&gt;=65,"High",Table310[[#This Row],[Risk Score]]&gt;=45,"Medium",TRUE,"Low")</f>
        <v>High</v>
      </c>
    </row>
    <row r="569" spans="1:12" x14ac:dyDescent="0.3">
      <c r="A569" t="s">
        <v>955</v>
      </c>
      <c r="B569" t="s">
        <v>1302</v>
      </c>
      <c r="C569" t="s">
        <v>188</v>
      </c>
      <c r="D569" t="s">
        <v>238</v>
      </c>
      <c r="E569" t="s">
        <v>2100</v>
      </c>
      <c r="F569" t="s">
        <v>2324</v>
      </c>
      <c r="G569" t="s">
        <v>2374</v>
      </c>
      <c r="H569" t="s">
        <v>2374</v>
      </c>
      <c r="I569" t="s">
        <v>2375</v>
      </c>
      <c r="J569" t="str">
        <f>IF(COUNTIF(Table5[Country],Table310[Country])&gt;0,"Y","N")</f>
        <v>N</v>
      </c>
      <c r="K569">
        <f>IF(Table310[[#This Row],[Adverse Media]]="Y",15,0)+IF(Table310[[#This Row],[PEP]]="Y",50,0)+IF(Table310[[#This Row],[Sanctions]]="Y",70,0)+IF(Table310[[#This Row],[High Risk Country]]="Y",25,0)</f>
        <v>70</v>
      </c>
      <c r="L569" t="str">
        <f>_xlfn.IFS(Table310[[#This Row],[Risk Score]]&gt;=85,"Critical",Table310[[#This Row],[Risk Score]]&gt;=65,"High",Table310[[#This Row],[Risk Score]]&gt;=45,"Medium",TRUE,"Low")</f>
        <v>High</v>
      </c>
    </row>
    <row r="570" spans="1:12" x14ac:dyDescent="0.3">
      <c r="A570" t="s">
        <v>956</v>
      </c>
      <c r="B570" t="s">
        <v>1303</v>
      </c>
      <c r="C570" t="s">
        <v>188</v>
      </c>
      <c r="D570" t="s">
        <v>191</v>
      </c>
      <c r="E570" t="s">
        <v>295</v>
      </c>
      <c r="F570" t="s">
        <v>2325</v>
      </c>
      <c r="G570" t="s">
        <v>2374</v>
      </c>
      <c r="H570" t="s">
        <v>2374</v>
      </c>
      <c r="I570" t="s">
        <v>2374</v>
      </c>
      <c r="J570" t="str">
        <f>IF(COUNTIF(Table5[Country],Table310[Country])&gt;0,"Y","N")</f>
        <v>N</v>
      </c>
      <c r="K570">
        <f>IF(Table310[[#This Row],[Adverse Media]]="Y",15,0)+IF(Table310[[#This Row],[PEP]]="Y",50,0)+IF(Table310[[#This Row],[Sanctions]]="Y",70,0)+IF(Table310[[#This Row],[High Risk Country]]="Y",25,0)</f>
        <v>0</v>
      </c>
      <c r="L570" t="str">
        <f>_xlfn.IFS(Table310[[#This Row],[Risk Score]]&gt;=85,"Critical",Table310[[#This Row],[Risk Score]]&gt;=65,"High",Table310[[#This Row],[Risk Score]]&gt;=45,"Medium",TRUE,"Low")</f>
        <v>Low</v>
      </c>
    </row>
    <row r="571" spans="1:12" x14ac:dyDescent="0.3">
      <c r="A571" t="s">
        <v>957</v>
      </c>
      <c r="B571" t="s">
        <v>1304</v>
      </c>
      <c r="C571" t="s">
        <v>188</v>
      </c>
      <c r="D571" t="s">
        <v>235</v>
      </c>
      <c r="E571" t="s">
        <v>2101</v>
      </c>
      <c r="F571" t="s">
        <v>2284</v>
      </c>
      <c r="G571" t="s">
        <v>2374</v>
      </c>
      <c r="H571" t="s">
        <v>2374</v>
      </c>
      <c r="I571" t="s">
        <v>2375</v>
      </c>
      <c r="J571" t="str">
        <f>IF(COUNTIF(Table5[Country],Table310[Country])&gt;0,"Y","N")</f>
        <v>N</v>
      </c>
      <c r="K571">
        <f>IF(Table310[[#This Row],[Adverse Media]]="Y",15,0)+IF(Table310[[#This Row],[PEP]]="Y",50,0)+IF(Table310[[#This Row],[Sanctions]]="Y",70,0)+IF(Table310[[#This Row],[High Risk Country]]="Y",25,0)</f>
        <v>70</v>
      </c>
      <c r="L571" t="str">
        <f>_xlfn.IFS(Table310[[#This Row],[Risk Score]]&gt;=85,"Critical",Table310[[#This Row],[Risk Score]]&gt;=65,"High",Table310[[#This Row],[Risk Score]]&gt;=45,"Medium",TRUE,"Low")</f>
        <v>High</v>
      </c>
    </row>
    <row r="572" spans="1:12" x14ac:dyDescent="0.3">
      <c r="A572" t="s">
        <v>958</v>
      </c>
      <c r="B572" t="s">
        <v>1305</v>
      </c>
      <c r="C572" t="s">
        <v>188</v>
      </c>
      <c r="D572" t="s">
        <v>193</v>
      </c>
      <c r="E572" t="s">
        <v>261</v>
      </c>
      <c r="F572" t="s">
        <v>2326</v>
      </c>
      <c r="G572" t="s">
        <v>2374</v>
      </c>
      <c r="H572" t="s">
        <v>2374</v>
      </c>
      <c r="I572" t="s">
        <v>2374</v>
      </c>
      <c r="J572" t="str">
        <f>IF(COUNTIF(Table5[Country],Table310[Country])&gt;0,"Y","N")</f>
        <v>Y</v>
      </c>
      <c r="K572">
        <f>IF(Table310[[#This Row],[Adverse Media]]="Y",15,0)+IF(Table310[[#This Row],[PEP]]="Y",50,0)+IF(Table310[[#This Row],[Sanctions]]="Y",70,0)+IF(Table310[[#This Row],[High Risk Country]]="Y",25,0)</f>
        <v>25</v>
      </c>
      <c r="L572" t="str">
        <f>_xlfn.IFS(Table310[[#This Row],[Risk Score]]&gt;=85,"Critical",Table310[[#This Row],[Risk Score]]&gt;=65,"High",Table310[[#This Row],[Risk Score]]&gt;=45,"Medium",TRUE,"Low")</f>
        <v>Low</v>
      </c>
    </row>
    <row r="573" spans="1:12" x14ac:dyDescent="0.3">
      <c r="A573" t="s">
        <v>959</v>
      </c>
      <c r="B573" t="s">
        <v>1306</v>
      </c>
      <c r="C573" t="s">
        <v>188</v>
      </c>
      <c r="D573" t="s">
        <v>207</v>
      </c>
      <c r="E573" t="s">
        <v>2102</v>
      </c>
      <c r="F573" t="s">
        <v>1881</v>
      </c>
      <c r="G573" t="s">
        <v>2374</v>
      </c>
      <c r="H573" t="s">
        <v>2374</v>
      </c>
      <c r="I573" t="s">
        <v>2375</v>
      </c>
      <c r="J573" t="str">
        <f>IF(COUNTIF(Table5[Country],Table310[Country])&gt;0,"Y","N")</f>
        <v>Y</v>
      </c>
      <c r="K573">
        <f>IF(Table310[[#This Row],[Adverse Media]]="Y",15,0)+IF(Table310[[#This Row],[PEP]]="Y",50,0)+IF(Table310[[#This Row],[Sanctions]]="Y",70,0)+IF(Table310[[#This Row],[High Risk Country]]="Y",25,0)</f>
        <v>95</v>
      </c>
      <c r="L573" t="str">
        <f>_xlfn.IFS(Table310[[#This Row],[Risk Score]]&gt;=85,"Critical",Table310[[#This Row],[Risk Score]]&gt;=65,"High",Table310[[#This Row],[Risk Score]]&gt;=45,"Medium",TRUE,"Low")</f>
        <v>Critical</v>
      </c>
    </row>
    <row r="574" spans="1:12" x14ac:dyDescent="0.3">
      <c r="A574" t="s">
        <v>960</v>
      </c>
      <c r="B574" t="s">
        <v>1307</v>
      </c>
      <c r="C574" t="s">
        <v>188</v>
      </c>
      <c r="D574" t="s">
        <v>243</v>
      </c>
      <c r="E574" t="s">
        <v>2103</v>
      </c>
      <c r="F574" t="s">
        <v>2327</v>
      </c>
      <c r="G574" t="s">
        <v>2374</v>
      </c>
      <c r="H574" t="s">
        <v>2374</v>
      </c>
      <c r="I574" t="s">
        <v>2375</v>
      </c>
      <c r="J574" t="str">
        <f>IF(COUNTIF(Table5[Country],Table310[Country])&gt;0,"Y","N")</f>
        <v>Y</v>
      </c>
      <c r="K574">
        <f>IF(Table310[[#This Row],[Adverse Media]]="Y",15,0)+IF(Table310[[#This Row],[PEP]]="Y",50,0)+IF(Table310[[#This Row],[Sanctions]]="Y",70,0)+IF(Table310[[#This Row],[High Risk Country]]="Y",25,0)</f>
        <v>95</v>
      </c>
      <c r="L574" t="str">
        <f>_xlfn.IFS(Table310[[#This Row],[Risk Score]]&gt;=85,"Critical",Table310[[#This Row],[Risk Score]]&gt;=65,"High",Table310[[#This Row],[Risk Score]]&gt;=45,"Medium",TRUE,"Low")</f>
        <v>Critical</v>
      </c>
    </row>
    <row r="575" spans="1:12" x14ac:dyDescent="0.3">
      <c r="A575" t="s">
        <v>961</v>
      </c>
      <c r="B575" t="s">
        <v>1308</v>
      </c>
      <c r="C575" t="s">
        <v>188</v>
      </c>
      <c r="D575" t="s">
        <v>218</v>
      </c>
      <c r="E575" t="s">
        <v>2104</v>
      </c>
      <c r="F575" t="s">
        <v>528</v>
      </c>
      <c r="G575" t="s">
        <v>2374</v>
      </c>
      <c r="H575" t="s">
        <v>2374</v>
      </c>
      <c r="I575" t="s">
        <v>2375</v>
      </c>
      <c r="J575" t="str">
        <f>IF(COUNTIF(Table5[Country],Table310[Country])&gt;0,"Y","N")</f>
        <v>N</v>
      </c>
      <c r="K575">
        <f>IF(Table310[[#This Row],[Adverse Media]]="Y",15,0)+IF(Table310[[#This Row],[PEP]]="Y",50,0)+IF(Table310[[#This Row],[Sanctions]]="Y",70,0)+IF(Table310[[#This Row],[High Risk Country]]="Y",25,0)</f>
        <v>70</v>
      </c>
      <c r="L575" t="str">
        <f>_xlfn.IFS(Table310[[#This Row],[Risk Score]]&gt;=85,"Critical",Table310[[#This Row],[Risk Score]]&gt;=65,"High",Table310[[#This Row],[Risk Score]]&gt;=45,"Medium",TRUE,"Low")</f>
        <v>High</v>
      </c>
    </row>
    <row r="576" spans="1:12" x14ac:dyDescent="0.3">
      <c r="A576" t="s">
        <v>962</v>
      </c>
      <c r="B576" t="s">
        <v>1309</v>
      </c>
      <c r="C576" t="s">
        <v>188</v>
      </c>
      <c r="D576" t="s">
        <v>221</v>
      </c>
      <c r="E576" t="s">
        <v>2105</v>
      </c>
      <c r="F576" t="s">
        <v>374</v>
      </c>
      <c r="G576" t="s">
        <v>2374</v>
      </c>
      <c r="H576" t="s">
        <v>2374</v>
      </c>
      <c r="I576" t="s">
        <v>2374</v>
      </c>
      <c r="J576" t="str">
        <f>IF(COUNTIF(Table5[Country],Table310[Country])&gt;0,"Y","N")</f>
        <v>N</v>
      </c>
      <c r="K576">
        <f>IF(Table310[[#This Row],[Adverse Media]]="Y",15,0)+IF(Table310[[#This Row],[PEP]]="Y",50,0)+IF(Table310[[#This Row],[Sanctions]]="Y",70,0)+IF(Table310[[#This Row],[High Risk Country]]="Y",25,0)</f>
        <v>0</v>
      </c>
      <c r="L576" t="str">
        <f>_xlfn.IFS(Table310[[#This Row],[Risk Score]]&gt;=85,"Critical",Table310[[#This Row],[Risk Score]]&gt;=65,"High",Table310[[#This Row],[Risk Score]]&gt;=45,"Medium",TRUE,"Low")</f>
        <v>Low</v>
      </c>
    </row>
    <row r="577" spans="1:12" x14ac:dyDescent="0.3">
      <c r="A577" t="s">
        <v>963</v>
      </c>
      <c r="B577" t="s">
        <v>1310</v>
      </c>
      <c r="C577" t="s">
        <v>188</v>
      </c>
      <c r="D577" t="s">
        <v>238</v>
      </c>
      <c r="E577" t="s">
        <v>2106</v>
      </c>
      <c r="F577" t="s">
        <v>2328</v>
      </c>
      <c r="G577" t="s">
        <v>2374</v>
      </c>
      <c r="H577" t="s">
        <v>2374</v>
      </c>
      <c r="I577" t="s">
        <v>2375</v>
      </c>
      <c r="J577" t="str">
        <f>IF(COUNTIF(Table5[Country],Table310[Country])&gt;0,"Y","N")</f>
        <v>N</v>
      </c>
      <c r="K577">
        <f>IF(Table310[[#This Row],[Adverse Media]]="Y",15,0)+IF(Table310[[#This Row],[PEP]]="Y",50,0)+IF(Table310[[#This Row],[Sanctions]]="Y",70,0)+IF(Table310[[#This Row],[High Risk Country]]="Y",25,0)</f>
        <v>70</v>
      </c>
      <c r="L577" t="str">
        <f>_xlfn.IFS(Table310[[#This Row],[Risk Score]]&gt;=85,"Critical",Table310[[#This Row],[Risk Score]]&gt;=65,"High",Table310[[#This Row],[Risk Score]]&gt;=45,"Medium",TRUE,"Low")</f>
        <v>High</v>
      </c>
    </row>
    <row r="578" spans="1:12" x14ac:dyDescent="0.3">
      <c r="A578" t="s">
        <v>964</v>
      </c>
      <c r="B578" t="s">
        <v>1311</v>
      </c>
      <c r="C578" t="s">
        <v>188</v>
      </c>
      <c r="D578" t="s">
        <v>203</v>
      </c>
      <c r="E578" t="s">
        <v>2107</v>
      </c>
      <c r="F578" t="s">
        <v>337</v>
      </c>
      <c r="G578" t="s">
        <v>2374</v>
      </c>
      <c r="H578" t="s">
        <v>2374</v>
      </c>
      <c r="I578" t="s">
        <v>2374</v>
      </c>
      <c r="J578" t="str">
        <f>IF(COUNTIF(Table5[Country],Table310[Country])&gt;0,"Y","N")</f>
        <v>Y</v>
      </c>
      <c r="K578">
        <f>IF(Table310[[#This Row],[Adverse Media]]="Y",15,0)+IF(Table310[[#This Row],[PEP]]="Y",50,0)+IF(Table310[[#This Row],[Sanctions]]="Y",70,0)+IF(Table310[[#This Row],[High Risk Country]]="Y",25,0)</f>
        <v>25</v>
      </c>
      <c r="L578" t="str">
        <f>_xlfn.IFS(Table310[[#This Row],[Risk Score]]&gt;=85,"Critical",Table310[[#This Row],[Risk Score]]&gt;=65,"High",Table310[[#This Row],[Risk Score]]&gt;=45,"Medium",TRUE,"Low")</f>
        <v>Low</v>
      </c>
    </row>
    <row r="579" spans="1:12" x14ac:dyDescent="0.3">
      <c r="A579" t="s">
        <v>965</v>
      </c>
      <c r="B579" t="s">
        <v>1312</v>
      </c>
      <c r="C579" t="s">
        <v>188</v>
      </c>
      <c r="D579" t="s">
        <v>225</v>
      </c>
      <c r="E579" t="s">
        <v>2108</v>
      </c>
      <c r="F579" t="s">
        <v>572</v>
      </c>
      <c r="G579" t="s">
        <v>2374</v>
      </c>
      <c r="H579" t="s">
        <v>2374</v>
      </c>
      <c r="I579" t="s">
        <v>2375</v>
      </c>
      <c r="J579" t="str">
        <f>IF(COUNTIF(Table5[Country],Table310[Country])&gt;0,"Y","N")</f>
        <v>N</v>
      </c>
      <c r="K579">
        <f>IF(Table310[[#This Row],[Adverse Media]]="Y",15,0)+IF(Table310[[#This Row],[PEP]]="Y",50,0)+IF(Table310[[#This Row],[Sanctions]]="Y",70,0)+IF(Table310[[#This Row],[High Risk Country]]="Y",25,0)</f>
        <v>70</v>
      </c>
      <c r="L579" t="str">
        <f>_xlfn.IFS(Table310[[#This Row],[Risk Score]]&gt;=85,"Critical",Table310[[#This Row],[Risk Score]]&gt;=65,"High",Table310[[#This Row],[Risk Score]]&gt;=45,"Medium",TRUE,"Low")</f>
        <v>High</v>
      </c>
    </row>
    <row r="580" spans="1:12" x14ac:dyDescent="0.3">
      <c r="A580" t="s">
        <v>966</v>
      </c>
      <c r="B580" t="s">
        <v>1313</v>
      </c>
      <c r="C580" t="s">
        <v>188</v>
      </c>
      <c r="D580" t="s">
        <v>198</v>
      </c>
      <c r="E580" t="s">
        <v>2109</v>
      </c>
      <c r="F580" t="s">
        <v>2033</v>
      </c>
      <c r="G580" t="s">
        <v>2374</v>
      </c>
      <c r="H580" t="s">
        <v>2374</v>
      </c>
      <c r="I580" t="s">
        <v>2374</v>
      </c>
      <c r="J580" t="str">
        <f>IF(COUNTIF(Table5[Country],Table310[Country])&gt;0,"Y","N")</f>
        <v>N</v>
      </c>
      <c r="K580">
        <f>IF(Table310[[#This Row],[Adverse Media]]="Y",15,0)+IF(Table310[[#This Row],[PEP]]="Y",50,0)+IF(Table310[[#This Row],[Sanctions]]="Y",70,0)+IF(Table310[[#This Row],[High Risk Country]]="Y",25,0)</f>
        <v>0</v>
      </c>
      <c r="L580" t="str">
        <f>_xlfn.IFS(Table310[[#This Row],[Risk Score]]&gt;=85,"Critical",Table310[[#This Row],[Risk Score]]&gt;=65,"High",Table310[[#This Row],[Risk Score]]&gt;=45,"Medium",TRUE,"Low")</f>
        <v>Low</v>
      </c>
    </row>
    <row r="581" spans="1:12" x14ac:dyDescent="0.3">
      <c r="A581" t="s">
        <v>967</v>
      </c>
      <c r="B581" t="s">
        <v>1314</v>
      </c>
      <c r="C581" t="s">
        <v>188</v>
      </c>
      <c r="D581" t="s">
        <v>211</v>
      </c>
      <c r="E581" t="s">
        <v>2110</v>
      </c>
      <c r="F581" t="s">
        <v>2329</v>
      </c>
      <c r="G581" t="s">
        <v>2374</v>
      </c>
      <c r="H581" t="s">
        <v>2374</v>
      </c>
      <c r="I581" t="s">
        <v>2375</v>
      </c>
      <c r="J581" t="str">
        <f>IF(COUNTIF(Table5[Country],Table310[Country])&gt;0,"Y","N")</f>
        <v>N</v>
      </c>
      <c r="K581">
        <f>IF(Table310[[#This Row],[Adverse Media]]="Y",15,0)+IF(Table310[[#This Row],[PEP]]="Y",50,0)+IF(Table310[[#This Row],[Sanctions]]="Y",70,0)+IF(Table310[[#This Row],[High Risk Country]]="Y",25,0)</f>
        <v>70</v>
      </c>
      <c r="L581" t="str">
        <f>_xlfn.IFS(Table310[[#This Row],[Risk Score]]&gt;=85,"Critical",Table310[[#This Row],[Risk Score]]&gt;=65,"High",Table310[[#This Row],[Risk Score]]&gt;=45,"Medium",TRUE,"Low")</f>
        <v>High</v>
      </c>
    </row>
    <row r="582" spans="1:12" x14ac:dyDescent="0.3">
      <c r="A582" t="s">
        <v>968</v>
      </c>
      <c r="B582" t="s">
        <v>1315</v>
      </c>
      <c r="C582" t="s">
        <v>188</v>
      </c>
      <c r="D582" t="s">
        <v>193</v>
      </c>
      <c r="E582" t="s">
        <v>2096</v>
      </c>
      <c r="F582" t="s">
        <v>2330</v>
      </c>
      <c r="G582" t="s">
        <v>2374</v>
      </c>
      <c r="H582" t="s">
        <v>2374</v>
      </c>
      <c r="I582" t="s">
        <v>2374</v>
      </c>
      <c r="J582" t="str">
        <f>IF(COUNTIF(Table5[Country],Table310[Country])&gt;0,"Y","N")</f>
        <v>Y</v>
      </c>
      <c r="K582">
        <f>IF(Table310[[#This Row],[Adverse Media]]="Y",15,0)+IF(Table310[[#This Row],[PEP]]="Y",50,0)+IF(Table310[[#This Row],[Sanctions]]="Y",70,0)+IF(Table310[[#This Row],[High Risk Country]]="Y",25,0)</f>
        <v>25</v>
      </c>
      <c r="L582" t="str">
        <f>_xlfn.IFS(Table310[[#This Row],[Risk Score]]&gt;=85,"Critical",Table310[[#This Row],[Risk Score]]&gt;=65,"High",Table310[[#This Row],[Risk Score]]&gt;=45,"Medium",TRUE,"Low")</f>
        <v>Low</v>
      </c>
    </row>
    <row r="583" spans="1:12" x14ac:dyDescent="0.3">
      <c r="A583" t="s">
        <v>969</v>
      </c>
      <c r="B583" t="s">
        <v>1316</v>
      </c>
      <c r="C583" t="s">
        <v>188</v>
      </c>
      <c r="D583" t="s">
        <v>244</v>
      </c>
      <c r="E583" t="s">
        <v>2111</v>
      </c>
      <c r="F583" t="s">
        <v>2331</v>
      </c>
      <c r="G583" t="s">
        <v>2374</v>
      </c>
      <c r="H583" t="s">
        <v>2374</v>
      </c>
      <c r="I583" t="s">
        <v>2374</v>
      </c>
      <c r="J583" t="str">
        <f>IF(COUNTIF(Table5[Country],Table310[Country])&gt;0,"Y","N")</f>
        <v>Y</v>
      </c>
      <c r="K583">
        <f>IF(Table310[[#This Row],[Adverse Media]]="Y",15,0)+IF(Table310[[#This Row],[PEP]]="Y",50,0)+IF(Table310[[#This Row],[Sanctions]]="Y",70,0)+IF(Table310[[#This Row],[High Risk Country]]="Y",25,0)</f>
        <v>25</v>
      </c>
      <c r="L583" t="str">
        <f>_xlfn.IFS(Table310[[#This Row],[Risk Score]]&gt;=85,"Critical",Table310[[#This Row],[Risk Score]]&gt;=65,"High",Table310[[#This Row],[Risk Score]]&gt;=45,"Medium",TRUE,"Low")</f>
        <v>Low</v>
      </c>
    </row>
    <row r="584" spans="1:12" x14ac:dyDescent="0.3">
      <c r="A584" t="s">
        <v>970</v>
      </c>
      <c r="B584" t="s">
        <v>1317</v>
      </c>
      <c r="C584" t="s">
        <v>188</v>
      </c>
      <c r="D584" t="s">
        <v>202</v>
      </c>
      <c r="E584" t="s">
        <v>2112</v>
      </c>
      <c r="F584" t="s">
        <v>2332</v>
      </c>
      <c r="G584" t="s">
        <v>2374</v>
      </c>
      <c r="H584" t="s">
        <v>2374</v>
      </c>
      <c r="I584" t="s">
        <v>2374</v>
      </c>
      <c r="J584" t="str">
        <f>IF(COUNTIF(Table5[Country],Table310[Country])&gt;0,"Y","N")</f>
        <v>N</v>
      </c>
      <c r="K584">
        <f>IF(Table310[[#This Row],[Adverse Media]]="Y",15,0)+IF(Table310[[#This Row],[PEP]]="Y",50,0)+IF(Table310[[#This Row],[Sanctions]]="Y",70,0)+IF(Table310[[#This Row],[High Risk Country]]="Y",25,0)</f>
        <v>0</v>
      </c>
      <c r="L584" t="str">
        <f>_xlfn.IFS(Table310[[#This Row],[Risk Score]]&gt;=85,"Critical",Table310[[#This Row],[Risk Score]]&gt;=65,"High",Table310[[#This Row],[Risk Score]]&gt;=45,"Medium",TRUE,"Low")</f>
        <v>Low</v>
      </c>
    </row>
    <row r="585" spans="1:12" x14ac:dyDescent="0.3">
      <c r="A585" t="s">
        <v>971</v>
      </c>
      <c r="B585" t="s">
        <v>1318</v>
      </c>
      <c r="C585" t="s">
        <v>188</v>
      </c>
      <c r="D585" t="s">
        <v>231</v>
      </c>
      <c r="E585" t="s">
        <v>2023</v>
      </c>
      <c r="F585" t="s">
        <v>2333</v>
      </c>
      <c r="G585" t="s">
        <v>2374</v>
      </c>
      <c r="H585" t="s">
        <v>2374</v>
      </c>
      <c r="I585" t="s">
        <v>2374</v>
      </c>
      <c r="J585" t="str">
        <f>IF(COUNTIF(Table5[Country],Table310[Country])&gt;0,"Y","N")</f>
        <v>N</v>
      </c>
      <c r="K585">
        <f>IF(Table310[[#This Row],[Adverse Media]]="Y",15,0)+IF(Table310[[#This Row],[PEP]]="Y",50,0)+IF(Table310[[#This Row],[Sanctions]]="Y",70,0)+IF(Table310[[#This Row],[High Risk Country]]="Y",25,0)</f>
        <v>0</v>
      </c>
      <c r="L585" t="str">
        <f>_xlfn.IFS(Table310[[#This Row],[Risk Score]]&gt;=85,"Critical",Table310[[#This Row],[Risk Score]]&gt;=65,"High",Table310[[#This Row],[Risk Score]]&gt;=45,"Medium",TRUE,"Low")</f>
        <v>Low</v>
      </c>
    </row>
    <row r="586" spans="1:12" x14ac:dyDescent="0.3">
      <c r="A586" t="s">
        <v>972</v>
      </c>
      <c r="B586" t="s">
        <v>1319</v>
      </c>
      <c r="C586" t="s">
        <v>188</v>
      </c>
      <c r="D586" t="s">
        <v>208</v>
      </c>
      <c r="E586" t="s">
        <v>2113</v>
      </c>
      <c r="F586" t="s">
        <v>2334</v>
      </c>
      <c r="G586" t="s">
        <v>2374</v>
      </c>
      <c r="H586" t="s">
        <v>2374</v>
      </c>
      <c r="I586" t="s">
        <v>2374</v>
      </c>
      <c r="J586" t="str">
        <f>IF(COUNTIF(Table5[Country],Table310[Country])&gt;0,"Y","N")</f>
        <v>Y</v>
      </c>
      <c r="K586">
        <f>IF(Table310[[#This Row],[Adverse Media]]="Y",15,0)+IF(Table310[[#This Row],[PEP]]="Y",50,0)+IF(Table310[[#This Row],[Sanctions]]="Y",70,0)+IF(Table310[[#This Row],[High Risk Country]]="Y",25,0)</f>
        <v>25</v>
      </c>
      <c r="L586" t="str">
        <f>_xlfn.IFS(Table310[[#This Row],[Risk Score]]&gt;=85,"Critical",Table310[[#This Row],[Risk Score]]&gt;=65,"High",Table310[[#This Row],[Risk Score]]&gt;=45,"Medium",TRUE,"Low")</f>
        <v>Low</v>
      </c>
    </row>
    <row r="587" spans="1:12" x14ac:dyDescent="0.3">
      <c r="A587" t="s">
        <v>973</v>
      </c>
      <c r="B587" t="s">
        <v>1320</v>
      </c>
      <c r="C587" t="s">
        <v>188</v>
      </c>
      <c r="D587" t="s">
        <v>203</v>
      </c>
      <c r="E587" t="s">
        <v>494</v>
      </c>
      <c r="F587" t="s">
        <v>2302</v>
      </c>
      <c r="G587" t="s">
        <v>2374</v>
      </c>
      <c r="H587" t="s">
        <v>2374</v>
      </c>
      <c r="I587" t="s">
        <v>2374</v>
      </c>
      <c r="J587" t="str">
        <f>IF(COUNTIF(Table5[Country],Table310[Country])&gt;0,"Y","N")</f>
        <v>Y</v>
      </c>
      <c r="K587">
        <f>IF(Table310[[#This Row],[Adverse Media]]="Y",15,0)+IF(Table310[[#This Row],[PEP]]="Y",50,0)+IF(Table310[[#This Row],[Sanctions]]="Y",70,0)+IF(Table310[[#This Row],[High Risk Country]]="Y",25,0)</f>
        <v>25</v>
      </c>
      <c r="L587" t="str">
        <f>_xlfn.IFS(Table310[[#This Row],[Risk Score]]&gt;=85,"Critical",Table310[[#This Row],[Risk Score]]&gt;=65,"High",Table310[[#This Row],[Risk Score]]&gt;=45,"Medium",TRUE,"Low")</f>
        <v>Low</v>
      </c>
    </row>
    <row r="588" spans="1:12" x14ac:dyDescent="0.3">
      <c r="A588" t="s">
        <v>974</v>
      </c>
      <c r="B588" t="s">
        <v>1321</v>
      </c>
      <c r="C588" t="s">
        <v>188</v>
      </c>
      <c r="D588" t="s">
        <v>243</v>
      </c>
      <c r="E588" t="s">
        <v>1904</v>
      </c>
      <c r="F588" t="s">
        <v>554</v>
      </c>
      <c r="G588" t="s">
        <v>2374</v>
      </c>
      <c r="H588" t="s">
        <v>2374</v>
      </c>
      <c r="I588" t="s">
        <v>2374</v>
      </c>
      <c r="J588" t="str">
        <f>IF(COUNTIF(Table5[Country],Table310[Country])&gt;0,"Y","N")</f>
        <v>Y</v>
      </c>
      <c r="K588">
        <f>IF(Table310[[#This Row],[Adverse Media]]="Y",15,0)+IF(Table310[[#This Row],[PEP]]="Y",50,0)+IF(Table310[[#This Row],[Sanctions]]="Y",70,0)+IF(Table310[[#This Row],[High Risk Country]]="Y",25,0)</f>
        <v>25</v>
      </c>
      <c r="L588" t="str">
        <f>_xlfn.IFS(Table310[[#This Row],[Risk Score]]&gt;=85,"Critical",Table310[[#This Row],[Risk Score]]&gt;=65,"High",Table310[[#This Row],[Risk Score]]&gt;=45,"Medium",TRUE,"Low")</f>
        <v>Low</v>
      </c>
    </row>
    <row r="589" spans="1:12" x14ac:dyDescent="0.3">
      <c r="A589" t="s">
        <v>975</v>
      </c>
      <c r="B589" t="s">
        <v>1322</v>
      </c>
      <c r="C589" t="s">
        <v>188</v>
      </c>
      <c r="D589" t="s">
        <v>236</v>
      </c>
      <c r="E589" t="s">
        <v>2114</v>
      </c>
      <c r="F589" t="s">
        <v>2335</v>
      </c>
      <c r="G589" t="s">
        <v>2374</v>
      </c>
      <c r="H589" t="s">
        <v>2374</v>
      </c>
      <c r="I589" t="s">
        <v>2374</v>
      </c>
      <c r="J589" t="str">
        <f>IF(COUNTIF(Table5[Country],Table310[Country])&gt;0,"Y","N")</f>
        <v>Y</v>
      </c>
      <c r="K589">
        <f>IF(Table310[[#This Row],[Adverse Media]]="Y",15,0)+IF(Table310[[#This Row],[PEP]]="Y",50,0)+IF(Table310[[#This Row],[Sanctions]]="Y",70,0)+IF(Table310[[#This Row],[High Risk Country]]="Y",25,0)</f>
        <v>25</v>
      </c>
      <c r="L589" t="str">
        <f>_xlfn.IFS(Table310[[#This Row],[Risk Score]]&gt;=85,"Critical",Table310[[#This Row],[Risk Score]]&gt;=65,"High",Table310[[#This Row],[Risk Score]]&gt;=45,"Medium",TRUE,"Low")</f>
        <v>Low</v>
      </c>
    </row>
    <row r="590" spans="1:12" x14ac:dyDescent="0.3">
      <c r="A590" t="s">
        <v>976</v>
      </c>
      <c r="B590" t="s">
        <v>1323</v>
      </c>
      <c r="C590" t="s">
        <v>188</v>
      </c>
      <c r="D590" t="s">
        <v>208</v>
      </c>
      <c r="E590" t="s">
        <v>2115</v>
      </c>
      <c r="F590" t="s">
        <v>280</v>
      </c>
      <c r="G590" t="s">
        <v>2374</v>
      </c>
      <c r="H590" t="s">
        <v>2374</v>
      </c>
      <c r="I590" t="s">
        <v>2374</v>
      </c>
      <c r="J590" t="str">
        <f>IF(COUNTIF(Table5[Country],Table310[Country])&gt;0,"Y","N")</f>
        <v>Y</v>
      </c>
      <c r="K590">
        <f>IF(Table310[[#This Row],[Adverse Media]]="Y",15,0)+IF(Table310[[#This Row],[PEP]]="Y",50,0)+IF(Table310[[#This Row],[Sanctions]]="Y",70,0)+IF(Table310[[#This Row],[High Risk Country]]="Y",25,0)</f>
        <v>25</v>
      </c>
      <c r="L590" t="str">
        <f>_xlfn.IFS(Table310[[#This Row],[Risk Score]]&gt;=85,"Critical",Table310[[#This Row],[Risk Score]]&gt;=65,"High",Table310[[#This Row],[Risk Score]]&gt;=45,"Medium",TRUE,"Low")</f>
        <v>Low</v>
      </c>
    </row>
    <row r="591" spans="1:12" x14ac:dyDescent="0.3">
      <c r="A591" t="s">
        <v>977</v>
      </c>
      <c r="B591" t="s">
        <v>1324</v>
      </c>
      <c r="C591" t="s">
        <v>188</v>
      </c>
      <c r="D591" t="s">
        <v>247</v>
      </c>
      <c r="E591" t="s">
        <v>2116</v>
      </c>
      <c r="F591" t="s">
        <v>2023</v>
      </c>
      <c r="G591" t="s">
        <v>2374</v>
      </c>
      <c r="H591" t="s">
        <v>2375</v>
      </c>
      <c r="I591" t="s">
        <v>2374</v>
      </c>
      <c r="J591" t="str">
        <f>IF(COUNTIF(Table5[Country],Table310[Country])&gt;0,"Y","N")</f>
        <v>Y</v>
      </c>
      <c r="K591">
        <f>IF(Table310[[#This Row],[Adverse Media]]="Y",15,0)+IF(Table310[[#This Row],[PEP]]="Y",50,0)+IF(Table310[[#This Row],[Sanctions]]="Y",70,0)+IF(Table310[[#This Row],[High Risk Country]]="Y",25,0)</f>
        <v>75</v>
      </c>
      <c r="L591" t="str">
        <f>_xlfn.IFS(Table310[[#This Row],[Risk Score]]&gt;=85,"Critical",Table310[[#This Row],[Risk Score]]&gt;=65,"High",Table310[[#This Row],[Risk Score]]&gt;=45,"Medium",TRUE,"Low")</f>
        <v>High</v>
      </c>
    </row>
    <row r="592" spans="1:12" x14ac:dyDescent="0.3">
      <c r="A592" t="s">
        <v>978</v>
      </c>
      <c r="B592" t="s">
        <v>1325</v>
      </c>
      <c r="C592" t="s">
        <v>188</v>
      </c>
      <c r="D592" t="s">
        <v>212</v>
      </c>
      <c r="E592" t="s">
        <v>2117</v>
      </c>
      <c r="F592" t="s">
        <v>2336</v>
      </c>
      <c r="G592" t="s">
        <v>2374</v>
      </c>
      <c r="H592" t="s">
        <v>2374</v>
      </c>
      <c r="I592" t="s">
        <v>2374</v>
      </c>
      <c r="J592" t="str">
        <f>IF(COUNTIF(Table5[Country],Table310[Country])&gt;0,"Y","N")</f>
        <v>N</v>
      </c>
      <c r="K592">
        <f>IF(Table310[[#This Row],[Adverse Media]]="Y",15,0)+IF(Table310[[#This Row],[PEP]]="Y",50,0)+IF(Table310[[#This Row],[Sanctions]]="Y",70,0)+IF(Table310[[#This Row],[High Risk Country]]="Y",25,0)</f>
        <v>0</v>
      </c>
      <c r="L592" t="str">
        <f>_xlfn.IFS(Table310[[#This Row],[Risk Score]]&gt;=85,"Critical",Table310[[#This Row],[Risk Score]]&gt;=65,"High",Table310[[#This Row],[Risk Score]]&gt;=45,"Medium",TRUE,"Low")</f>
        <v>Low</v>
      </c>
    </row>
    <row r="593" spans="1:12" x14ac:dyDescent="0.3">
      <c r="A593" t="s">
        <v>979</v>
      </c>
      <c r="B593" t="s">
        <v>1326</v>
      </c>
      <c r="C593" t="s">
        <v>188</v>
      </c>
      <c r="D593" t="s">
        <v>233</v>
      </c>
      <c r="E593" t="s">
        <v>584</v>
      </c>
      <c r="F593" t="s">
        <v>665</v>
      </c>
      <c r="G593" t="s">
        <v>2374</v>
      </c>
      <c r="H593" t="s">
        <v>2375</v>
      </c>
      <c r="I593" t="s">
        <v>2374</v>
      </c>
      <c r="J593" t="str">
        <f>IF(COUNTIF(Table5[Country],Table310[Country])&gt;0,"Y","N")</f>
        <v>N</v>
      </c>
      <c r="K593">
        <f>IF(Table310[[#This Row],[Adverse Media]]="Y",15,0)+IF(Table310[[#This Row],[PEP]]="Y",50,0)+IF(Table310[[#This Row],[Sanctions]]="Y",70,0)+IF(Table310[[#This Row],[High Risk Country]]="Y",25,0)</f>
        <v>50</v>
      </c>
      <c r="L593" t="str">
        <f>_xlfn.IFS(Table310[[#This Row],[Risk Score]]&gt;=85,"Critical",Table310[[#This Row],[Risk Score]]&gt;=65,"High",Table310[[#This Row],[Risk Score]]&gt;=45,"Medium",TRUE,"Low")</f>
        <v>Medium</v>
      </c>
    </row>
    <row r="594" spans="1:12" x14ac:dyDescent="0.3">
      <c r="A594" t="s">
        <v>980</v>
      </c>
      <c r="B594" t="s">
        <v>1327</v>
      </c>
      <c r="C594" t="s">
        <v>188</v>
      </c>
      <c r="D594" t="s">
        <v>208</v>
      </c>
      <c r="E594" t="s">
        <v>2118</v>
      </c>
      <c r="F594" t="s">
        <v>307</v>
      </c>
      <c r="G594" t="s">
        <v>2374</v>
      </c>
      <c r="H594" t="s">
        <v>2375</v>
      </c>
      <c r="I594" t="s">
        <v>2374</v>
      </c>
      <c r="J594" t="str">
        <f>IF(COUNTIF(Table5[Country],Table310[Country])&gt;0,"Y","N")</f>
        <v>Y</v>
      </c>
      <c r="K594">
        <f>IF(Table310[[#This Row],[Adverse Media]]="Y",15,0)+IF(Table310[[#This Row],[PEP]]="Y",50,0)+IF(Table310[[#This Row],[Sanctions]]="Y",70,0)+IF(Table310[[#This Row],[High Risk Country]]="Y",25,0)</f>
        <v>75</v>
      </c>
      <c r="L594" t="str">
        <f>_xlfn.IFS(Table310[[#This Row],[Risk Score]]&gt;=85,"Critical",Table310[[#This Row],[Risk Score]]&gt;=65,"High",Table310[[#This Row],[Risk Score]]&gt;=45,"Medium",TRUE,"Low")</f>
        <v>High</v>
      </c>
    </row>
    <row r="595" spans="1:12" x14ac:dyDescent="0.3">
      <c r="A595" t="s">
        <v>981</v>
      </c>
      <c r="B595" t="s">
        <v>1328</v>
      </c>
      <c r="C595" t="s">
        <v>188</v>
      </c>
      <c r="D595" t="s">
        <v>214</v>
      </c>
      <c r="E595" t="s">
        <v>2119</v>
      </c>
      <c r="F595" t="s">
        <v>2337</v>
      </c>
      <c r="G595" t="s">
        <v>2374</v>
      </c>
      <c r="H595" t="s">
        <v>2374</v>
      </c>
      <c r="I595" t="s">
        <v>2374</v>
      </c>
      <c r="J595" t="str">
        <f>IF(COUNTIF(Table5[Country],Table310[Country])&gt;0,"Y","N")</f>
        <v>N</v>
      </c>
      <c r="K595">
        <f>IF(Table310[[#This Row],[Adverse Media]]="Y",15,0)+IF(Table310[[#This Row],[PEP]]="Y",50,0)+IF(Table310[[#This Row],[Sanctions]]="Y",70,0)+IF(Table310[[#This Row],[High Risk Country]]="Y",25,0)</f>
        <v>0</v>
      </c>
      <c r="L595" t="str">
        <f>_xlfn.IFS(Table310[[#This Row],[Risk Score]]&gt;=85,"Critical",Table310[[#This Row],[Risk Score]]&gt;=65,"High",Table310[[#This Row],[Risk Score]]&gt;=45,"Medium",TRUE,"Low")</f>
        <v>Low</v>
      </c>
    </row>
    <row r="596" spans="1:12" x14ac:dyDescent="0.3">
      <c r="A596" t="s">
        <v>982</v>
      </c>
      <c r="B596" t="s">
        <v>1329</v>
      </c>
      <c r="C596" t="s">
        <v>188</v>
      </c>
      <c r="D596" t="s">
        <v>244</v>
      </c>
      <c r="E596" t="s">
        <v>2120</v>
      </c>
      <c r="F596" t="s">
        <v>565</v>
      </c>
      <c r="G596" t="s">
        <v>2374</v>
      </c>
      <c r="H596" t="s">
        <v>2374</v>
      </c>
      <c r="I596" t="s">
        <v>2374</v>
      </c>
      <c r="J596" t="str">
        <f>IF(COUNTIF(Table5[Country],Table310[Country])&gt;0,"Y","N")</f>
        <v>Y</v>
      </c>
      <c r="K596">
        <f>IF(Table310[[#This Row],[Adverse Media]]="Y",15,0)+IF(Table310[[#This Row],[PEP]]="Y",50,0)+IF(Table310[[#This Row],[Sanctions]]="Y",70,0)+IF(Table310[[#This Row],[High Risk Country]]="Y",25,0)</f>
        <v>25</v>
      </c>
      <c r="L596" t="str">
        <f>_xlfn.IFS(Table310[[#This Row],[Risk Score]]&gt;=85,"Critical",Table310[[#This Row],[Risk Score]]&gt;=65,"High",Table310[[#This Row],[Risk Score]]&gt;=45,"Medium",TRUE,"Low")</f>
        <v>Low</v>
      </c>
    </row>
    <row r="597" spans="1:12" x14ac:dyDescent="0.3">
      <c r="A597" t="s">
        <v>983</v>
      </c>
      <c r="B597" t="s">
        <v>1330</v>
      </c>
      <c r="C597" t="s">
        <v>188</v>
      </c>
      <c r="D597" t="s">
        <v>230</v>
      </c>
      <c r="E597" t="s">
        <v>2121</v>
      </c>
      <c r="F597" t="s">
        <v>628</v>
      </c>
      <c r="G597" t="s">
        <v>2374</v>
      </c>
      <c r="H597" t="s">
        <v>2375</v>
      </c>
      <c r="I597" t="s">
        <v>2374</v>
      </c>
      <c r="J597" t="str">
        <f>IF(COUNTIF(Table5[Country],Table310[Country])&gt;0,"Y","N")</f>
        <v>N</v>
      </c>
      <c r="K597">
        <f>IF(Table310[[#This Row],[Adverse Media]]="Y",15,0)+IF(Table310[[#This Row],[PEP]]="Y",50,0)+IF(Table310[[#This Row],[Sanctions]]="Y",70,0)+IF(Table310[[#This Row],[High Risk Country]]="Y",25,0)</f>
        <v>50</v>
      </c>
      <c r="L597" t="str">
        <f>_xlfn.IFS(Table310[[#This Row],[Risk Score]]&gt;=85,"Critical",Table310[[#This Row],[Risk Score]]&gt;=65,"High",Table310[[#This Row],[Risk Score]]&gt;=45,"Medium",TRUE,"Low")</f>
        <v>Medium</v>
      </c>
    </row>
    <row r="598" spans="1:12" x14ac:dyDescent="0.3">
      <c r="A598" t="s">
        <v>984</v>
      </c>
      <c r="B598" t="s">
        <v>1331</v>
      </c>
      <c r="C598" t="s">
        <v>188</v>
      </c>
      <c r="D598" t="s">
        <v>231</v>
      </c>
      <c r="E598" t="s">
        <v>2122</v>
      </c>
      <c r="F598" t="s">
        <v>379</v>
      </c>
      <c r="G598" t="s">
        <v>2374</v>
      </c>
      <c r="H598" t="s">
        <v>2375</v>
      </c>
      <c r="I598" t="s">
        <v>2374</v>
      </c>
      <c r="J598" t="str">
        <f>IF(COUNTIF(Table5[Country],Table310[Country])&gt;0,"Y","N")</f>
        <v>N</v>
      </c>
      <c r="K598">
        <f>IF(Table310[[#This Row],[Adverse Media]]="Y",15,0)+IF(Table310[[#This Row],[PEP]]="Y",50,0)+IF(Table310[[#This Row],[Sanctions]]="Y",70,0)+IF(Table310[[#This Row],[High Risk Country]]="Y",25,0)</f>
        <v>50</v>
      </c>
      <c r="L598" t="str">
        <f>_xlfn.IFS(Table310[[#This Row],[Risk Score]]&gt;=85,"Critical",Table310[[#This Row],[Risk Score]]&gt;=65,"High",Table310[[#This Row],[Risk Score]]&gt;=45,"Medium",TRUE,"Low")</f>
        <v>Medium</v>
      </c>
    </row>
    <row r="599" spans="1:12" x14ac:dyDescent="0.3">
      <c r="A599" t="s">
        <v>985</v>
      </c>
      <c r="B599" t="s">
        <v>1130</v>
      </c>
      <c r="C599" t="s">
        <v>188</v>
      </c>
      <c r="D599" t="s">
        <v>208</v>
      </c>
      <c r="E599" t="s">
        <v>2123</v>
      </c>
      <c r="F599" t="s">
        <v>2338</v>
      </c>
      <c r="G599" t="s">
        <v>2375</v>
      </c>
      <c r="H599" t="s">
        <v>2374</v>
      </c>
      <c r="I599" t="s">
        <v>2374</v>
      </c>
      <c r="J599" t="str">
        <f>IF(COUNTIF(Table5[Country],Table310[Country])&gt;0,"Y","N")</f>
        <v>Y</v>
      </c>
      <c r="K599">
        <f>IF(Table310[[#This Row],[Adverse Media]]="Y",15,0)+IF(Table310[[#This Row],[PEP]]="Y",50,0)+IF(Table310[[#This Row],[Sanctions]]="Y",70,0)+IF(Table310[[#This Row],[High Risk Country]]="Y",25,0)</f>
        <v>40</v>
      </c>
      <c r="L599" t="str">
        <f>_xlfn.IFS(Table310[[#This Row],[Risk Score]]&gt;=85,"Critical",Table310[[#This Row],[Risk Score]]&gt;=65,"High",Table310[[#This Row],[Risk Score]]&gt;=45,"Medium",TRUE,"Low")</f>
        <v>Low</v>
      </c>
    </row>
    <row r="600" spans="1:12" x14ac:dyDescent="0.3">
      <c r="A600" t="s">
        <v>986</v>
      </c>
      <c r="B600" t="s">
        <v>1332</v>
      </c>
      <c r="C600" t="s">
        <v>188</v>
      </c>
      <c r="D600" t="s">
        <v>213</v>
      </c>
      <c r="E600" t="s">
        <v>2124</v>
      </c>
      <c r="F600" t="s">
        <v>2339</v>
      </c>
      <c r="G600" t="s">
        <v>2375</v>
      </c>
      <c r="H600" t="s">
        <v>2375</v>
      </c>
      <c r="I600" t="s">
        <v>2374</v>
      </c>
      <c r="J600" t="str">
        <f>IF(COUNTIF(Table5[Country],Table310[Country])&gt;0,"Y","N")</f>
        <v>Y</v>
      </c>
      <c r="K600">
        <f>IF(Table310[[#This Row],[Adverse Media]]="Y",15,0)+IF(Table310[[#This Row],[PEP]]="Y",50,0)+IF(Table310[[#This Row],[Sanctions]]="Y",70,0)+IF(Table310[[#This Row],[High Risk Country]]="Y",25,0)</f>
        <v>90</v>
      </c>
      <c r="L600" t="str">
        <f>_xlfn.IFS(Table310[[#This Row],[Risk Score]]&gt;=85,"Critical",Table310[[#This Row],[Risk Score]]&gt;=65,"High",Table310[[#This Row],[Risk Score]]&gt;=45,"Medium",TRUE,"Low")</f>
        <v>Critical</v>
      </c>
    </row>
    <row r="601" spans="1:12" x14ac:dyDescent="0.3">
      <c r="A601" t="s">
        <v>987</v>
      </c>
      <c r="B601" t="s">
        <v>1333</v>
      </c>
      <c r="C601" t="s">
        <v>188</v>
      </c>
      <c r="D601" t="s">
        <v>219</v>
      </c>
      <c r="E601" t="s">
        <v>2125</v>
      </c>
      <c r="F601" t="s">
        <v>2340</v>
      </c>
      <c r="G601" t="s">
        <v>2374</v>
      </c>
      <c r="H601" t="s">
        <v>2375</v>
      </c>
      <c r="I601" t="s">
        <v>2374</v>
      </c>
      <c r="J601" t="str">
        <f>IF(COUNTIF(Table5[Country],Table310[Country])&gt;0,"Y","N")</f>
        <v>Y</v>
      </c>
      <c r="K601">
        <f>IF(Table310[[#This Row],[Adverse Media]]="Y",15,0)+IF(Table310[[#This Row],[PEP]]="Y",50,0)+IF(Table310[[#This Row],[Sanctions]]="Y",70,0)+IF(Table310[[#This Row],[High Risk Country]]="Y",25,0)</f>
        <v>75</v>
      </c>
      <c r="L601" t="str">
        <f>_xlfn.IFS(Table310[[#This Row],[Risk Score]]&gt;=85,"Critical",Table310[[#This Row],[Risk Score]]&gt;=65,"High",Table310[[#This Row],[Risk Score]]&gt;=45,"Medium",TRUE,"Low")</f>
        <v>High</v>
      </c>
    </row>
    <row r="602" spans="1:12" x14ac:dyDescent="0.3">
      <c r="A602" t="s">
        <v>988</v>
      </c>
      <c r="B602" t="s">
        <v>1334</v>
      </c>
      <c r="C602" t="s">
        <v>188</v>
      </c>
      <c r="D602" t="s">
        <v>195</v>
      </c>
      <c r="E602" t="s">
        <v>2126</v>
      </c>
      <c r="F602" t="s">
        <v>2341</v>
      </c>
      <c r="G602" t="s">
        <v>2374</v>
      </c>
      <c r="H602" t="s">
        <v>2374</v>
      </c>
      <c r="I602" t="s">
        <v>2374</v>
      </c>
      <c r="J602" t="str">
        <f>IF(COUNTIF(Table5[Country],Table310[Country])&gt;0,"Y","N")</f>
        <v>N</v>
      </c>
      <c r="K602">
        <f>IF(Table310[[#This Row],[Adverse Media]]="Y",15,0)+IF(Table310[[#This Row],[PEP]]="Y",50,0)+IF(Table310[[#This Row],[Sanctions]]="Y",70,0)+IF(Table310[[#This Row],[High Risk Country]]="Y",25,0)</f>
        <v>0</v>
      </c>
      <c r="L602" t="str">
        <f>_xlfn.IFS(Table310[[#This Row],[Risk Score]]&gt;=85,"Critical",Table310[[#This Row],[Risk Score]]&gt;=65,"High",Table310[[#This Row],[Risk Score]]&gt;=45,"Medium",TRUE,"Low")</f>
        <v>Low</v>
      </c>
    </row>
    <row r="603" spans="1:12" x14ac:dyDescent="0.3">
      <c r="A603" t="s">
        <v>989</v>
      </c>
      <c r="B603" t="s">
        <v>1335</v>
      </c>
      <c r="C603" t="s">
        <v>188</v>
      </c>
      <c r="D603" t="s">
        <v>233</v>
      </c>
      <c r="E603" t="s">
        <v>2127</v>
      </c>
      <c r="F603" t="s">
        <v>2342</v>
      </c>
      <c r="G603" t="s">
        <v>2375</v>
      </c>
      <c r="H603" t="s">
        <v>2375</v>
      </c>
      <c r="I603" t="s">
        <v>2374</v>
      </c>
      <c r="J603" t="str">
        <f>IF(COUNTIF(Table5[Country],Table310[Country])&gt;0,"Y","N")</f>
        <v>N</v>
      </c>
      <c r="K603">
        <f>IF(Table310[[#This Row],[Adverse Media]]="Y",15,0)+IF(Table310[[#This Row],[PEP]]="Y",50,0)+IF(Table310[[#This Row],[Sanctions]]="Y",70,0)+IF(Table310[[#This Row],[High Risk Country]]="Y",25,0)</f>
        <v>65</v>
      </c>
      <c r="L603" t="str">
        <f>_xlfn.IFS(Table310[[#This Row],[Risk Score]]&gt;=85,"Critical",Table310[[#This Row],[Risk Score]]&gt;=65,"High",Table310[[#This Row],[Risk Score]]&gt;=45,"Medium",TRUE,"Low")</f>
        <v>High</v>
      </c>
    </row>
    <row r="604" spans="1:12" x14ac:dyDescent="0.3">
      <c r="A604" t="s">
        <v>990</v>
      </c>
      <c r="B604" t="s">
        <v>1132</v>
      </c>
      <c r="C604" t="s">
        <v>188</v>
      </c>
      <c r="D604" t="s">
        <v>237</v>
      </c>
      <c r="E604" t="s">
        <v>2128</v>
      </c>
      <c r="F604" t="s">
        <v>2343</v>
      </c>
      <c r="G604" t="s">
        <v>2374</v>
      </c>
      <c r="H604" t="s">
        <v>2375</v>
      </c>
      <c r="I604" t="s">
        <v>2374</v>
      </c>
      <c r="J604" t="str">
        <f>IF(COUNTIF(Table5[Country],Table310[Country])&gt;0,"Y","N")</f>
        <v>Y</v>
      </c>
      <c r="K604">
        <f>IF(Table310[[#This Row],[Adverse Media]]="Y",15,0)+IF(Table310[[#This Row],[PEP]]="Y",50,0)+IF(Table310[[#This Row],[Sanctions]]="Y",70,0)+IF(Table310[[#This Row],[High Risk Country]]="Y",25,0)</f>
        <v>75</v>
      </c>
      <c r="L604" t="str">
        <f>_xlfn.IFS(Table310[[#This Row],[Risk Score]]&gt;=85,"Critical",Table310[[#This Row],[Risk Score]]&gt;=65,"High",Table310[[#This Row],[Risk Score]]&gt;=45,"Medium",TRUE,"Low")</f>
        <v>High</v>
      </c>
    </row>
    <row r="605" spans="1:12" x14ac:dyDescent="0.3">
      <c r="A605" t="s">
        <v>991</v>
      </c>
      <c r="B605" t="s">
        <v>1336</v>
      </c>
      <c r="C605" t="s">
        <v>188</v>
      </c>
      <c r="D605" t="s">
        <v>241</v>
      </c>
      <c r="E605" t="s">
        <v>2129</v>
      </c>
      <c r="F605" t="s">
        <v>2210</v>
      </c>
      <c r="G605" t="s">
        <v>2375</v>
      </c>
      <c r="H605" t="s">
        <v>2374</v>
      </c>
      <c r="I605" t="s">
        <v>2374</v>
      </c>
      <c r="J605" t="str">
        <f>IF(COUNTIF(Table5[Country],Table310[Country])&gt;0,"Y","N")</f>
        <v>N</v>
      </c>
      <c r="K605">
        <f>IF(Table310[[#This Row],[Adverse Media]]="Y",15,0)+IF(Table310[[#This Row],[PEP]]="Y",50,0)+IF(Table310[[#This Row],[Sanctions]]="Y",70,0)+IF(Table310[[#This Row],[High Risk Country]]="Y",25,0)</f>
        <v>15</v>
      </c>
      <c r="L605" t="str">
        <f>_xlfn.IFS(Table310[[#This Row],[Risk Score]]&gt;=85,"Critical",Table310[[#This Row],[Risk Score]]&gt;=65,"High",Table310[[#This Row],[Risk Score]]&gt;=45,"Medium",TRUE,"Low")</f>
        <v>Low</v>
      </c>
    </row>
    <row r="606" spans="1:12" x14ac:dyDescent="0.3">
      <c r="A606" t="s">
        <v>992</v>
      </c>
      <c r="B606" t="s">
        <v>1337</v>
      </c>
      <c r="C606" t="s">
        <v>188</v>
      </c>
      <c r="D606" t="s">
        <v>195</v>
      </c>
      <c r="E606" t="s">
        <v>378</v>
      </c>
      <c r="F606" t="s">
        <v>2344</v>
      </c>
      <c r="G606" t="s">
        <v>2375</v>
      </c>
      <c r="H606" t="s">
        <v>2374</v>
      </c>
      <c r="I606" t="s">
        <v>2374</v>
      </c>
      <c r="J606" t="str">
        <f>IF(COUNTIF(Table5[Country],Table310[Country])&gt;0,"Y","N")</f>
        <v>N</v>
      </c>
      <c r="K606">
        <f>IF(Table310[[#This Row],[Adverse Media]]="Y",15,0)+IF(Table310[[#This Row],[PEP]]="Y",50,0)+IF(Table310[[#This Row],[Sanctions]]="Y",70,0)+IF(Table310[[#This Row],[High Risk Country]]="Y",25,0)</f>
        <v>15</v>
      </c>
      <c r="L606" t="str">
        <f>_xlfn.IFS(Table310[[#This Row],[Risk Score]]&gt;=85,"Critical",Table310[[#This Row],[Risk Score]]&gt;=65,"High",Table310[[#This Row],[Risk Score]]&gt;=45,"Medium",TRUE,"Low")</f>
        <v>Low</v>
      </c>
    </row>
    <row r="607" spans="1:12" x14ac:dyDescent="0.3">
      <c r="A607" t="s">
        <v>993</v>
      </c>
      <c r="B607" t="s">
        <v>1338</v>
      </c>
      <c r="C607" t="s">
        <v>188</v>
      </c>
      <c r="D607" t="s">
        <v>246</v>
      </c>
      <c r="E607" t="s">
        <v>1875</v>
      </c>
      <c r="F607" t="s">
        <v>2345</v>
      </c>
      <c r="G607" t="s">
        <v>2374</v>
      </c>
      <c r="H607" t="s">
        <v>2374</v>
      </c>
      <c r="I607" t="s">
        <v>2374</v>
      </c>
      <c r="J607" t="str">
        <f>IF(COUNTIF(Table5[Country],Table310[Country])&gt;0,"Y","N")</f>
        <v>N</v>
      </c>
      <c r="K607">
        <f>IF(Table310[[#This Row],[Adverse Media]]="Y",15,0)+IF(Table310[[#This Row],[PEP]]="Y",50,0)+IF(Table310[[#This Row],[Sanctions]]="Y",70,0)+IF(Table310[[#This Row],[High Risk Country]]="Y",25,0)</f>
        <v>0</v>
      </c>
      <c r="L607" t="str">
        <f>_xlfn.IFS(Table310[[#This Row],[Risk Score]]&gt;=85,"Critical",Table310[[#This Row],[Risk Score]]&gt;=65,"High",Table310[[#This Row],[Risk Score]]&gt;=45,"Medium",TRUE,"Low")</f>
        <v>Low</v>
      </c>
    </row>
    <row r="608" spans="1:12" x14ac:dyDescent="0.3">
      <c r="A608" t="s">
        <v>994</v>
      </c>
      <c r="B608" t="s">
        <v>1339</v>
      </c>
      <c r="C608" t="s">
        <v>188</v>
      </c>
      <c r="D608" t="s">
        <v>231</v>
      </c>
      <c r="E608" t="s">
        <v>511</v>
      </c>
      <c r="F608" t="s">
        <v>2083</v>
      </c>
      <c r="G608" t="s">
        <v>2374</v>
      </c>
      <c r="H608" t="s">
        <v>2374</v>
      </c>
      <c r="I608" t="s">
        <v>2374</v>
      </c>
      <c r="J608" t="str">
        <f>IF(COUNTIF(Table5[Country],Table310[Country])&gt;0,"Y","N")</f>
        <v>N</v>
      </c>
      <c r="K608">
        <f>IF(Table310[[#This Row],[Adverse Media]]="Y",15,0)+IF(Table310[[#This Row],[PEP]]="Y",50,0)+IF(Table310[[#This Row],[Sanctions]]="Y",70,0)+IF(Table310[[#This Row],[High Risk Country]]="Y",25,0)</f>
        <v>0</v>
      </c>
      <c r="L608" t="str">
        <f>_xlfn.IFS(Table310[[#This Row],[Risk Score]]&gt;=85,"Critical",Table310[[#This Row],[Risk Score]]&gt;=65,"High",Table310[[#This Row],[Risk Score]]&gt;=45,"Medium",TRUE,"Low")</f>
        <v>Low</v>
      </c>
    </row>
    <row r="609" spans="1:12" x14ac:dyDescent="0.3">
      <c r="A609" t="s">
        <v>995</v>
      </c>
      <c r="B609" t="s">
        <v>1340</v>
      </c>
      <c r="C609" t="s">
        <v>188</v>
      </c>
      <c r="D609" t="s">
        <v>199</v>
      </c>
      <c r="E609" t="s">
        <v>2130</v>
      </c>
      <c r="F609" t="s">
        <v>2346</v>
      </c>
      <c r="G609" t="s">
        <v>2374</v>
      </c>
      <c r="H609" t="s">
        <v>2374</v>
      </c>
      <c r="I609" t="s">
        <v>2374</v>
      </c>
      <c r="J609" t="str">
        <f>IF(COUNTIF(Table5[Country],Table310[Country])&gt;0,"Y","N")</f>
        <v>N</v>
      </c>
      <c r="K609">
        <f>IF(Table310[[#This Row],[Adverse Media]]="Y",15,0)+IF(Table310[[#This Row],[PEP]]="Y",50,0)+IF(Table310[[#This Row],[Sanctions]]="Y",70,0)+IF(Table310[[#This Row],[High Risk Country]]="Y",25,0)</f>
        <v>0</v>
      </c>
      <c r="L609" t="str">
        <f>_xlfn.IFS(Table310[[#This Row],[Risk Score]]&gt;=85,"Critical",Table310[[#This Row],[Risk Score]]&gt;=65,"High",Table310[[#This Row],[Risk Score]]&gt;=45,"Medium",TRUE,"Low")</f>
        <v>Low</v>
      </c>
    </row>
    <row r="610" spans="1:12" x14ac:dyDescent="0.3">
      <c r="A610" t="s">
        <v>996</v>
      </c>
      <c r="B610" t="s">
        <v>1341</v>
      </c>
      <c r="C610" t="s">
        <v>188</v>
      </c>
      <c r="D610" t="s">
        <v>202</v>
      </c>
      <c r="E610" t="s">
        <v>2131</v>
      </c>
      <c r="F610" t="s">
        <v>2347</v>
      </c>
      <c r="G610" t="s">
        <v>2374</v>
      </c>
      <c r="H610" t="s">
        <v>2375</v>
      </c>
      <c r="I610" t="s">
        <v>2374</v>
      </c>
      <c r="J610" t="str">
        <f>IF(COUNTIF(Table5[Country],Table310[Country])&gt;0,"Y","N")</f>
        <v>N</v>
      </c>
      <c r="K610">
        <f>IF(Table310[[#This Row],[Adverse Media]]="Y",15,0)+IF(Table310[[#This Row],[PEP]]="Y",50,0)+IF(Table310[[#This Row],[Sanctions]]="Y",70,0)+IF(Table310[[#This Row],[High Risk Country]]="Y",25,0)</f>
        <v>50</v>
      </c>
      <c r="L610" t="str">
        <f>_xlfn.IFS(Table310[[#This Row],[Risk Score]]&gt;=85,"Critical",Table310[[#This Row],[Risk Score]]&gt;=65,"High",Table310[[#This Row],[Risk Score]]&gt;=45,"Medium",TRUE,"Low")</f>
        <v>Medium</v>
      </c>
    </row>
    <row r="611" spans="1:12" x14ac:dyDescent="0.3">
      <c r="A611" t="s">
        <v>997</v>
      </c>
      <c r="B611" t="s">
        <v>1342</v>
      </c>
      <c r="C611" t="s">
        <v>188</v>
      </c>
      <c r="D611" t="s">
        <v>241</v>
      </c>
      <c r="E611" t="s">
        <v>2132</v>
      </c>
      <c r="F611" t="s">
        <v>2348</v>
      </c>
      <c r="G611" t="s">
        <v>2374</v>
      </c>
      <c r="H611" t="s">
        <v>2375</v>
      </c>
      <c r="I611" t="s">
        <v>2374</v>
      </c>
      <c r="J611" t="str">
        <f>IF(COUNTIF(Table5[Country],Table310[Country])&gt;0,"Y","N")</f>
        <v>N</v>
      </c>
      <c r="K611">
        <f>IF(Table310[[#This Row],[Adverse Media]]="Y",15,0)+IF(Table310[[#This Row],[PEP]]="Y",50,0)+IF(Table310[[#This Row],[Sanctions]]="Y",70,0)+IF(Table310[[#This Row],[High Risk Country]]="Y",25,0)</f>
        <v>50</v>
      </c>
      <c r="L611" t="str">
        <f>_xlfn.IFS(Table310[[#This Row],[Risk Score]]&gt;=85,"Critical",Table310[[#This Row],[Risk Score]]&gt;=65,"High",Table310[[#This Row],[Risk Score]]&gt;=45,"Medium",TRUE,"Low")</f>
        <v>Medium</v>
      </c>
    </row>
    <row r="612" spans="1:12" x14ac:dyDescent="0.3">
      <c r="A612" t="s">
        <v>998</v>
      </c>
      <c r="B612" t="s">
        <v>1343</v>
      </c>
      <c r="C612" t="s">
        <v>188</v>
      </c>
      <c r="D612" t="s">
        <v>246</v>
      </c>
      <c r="E612" t="s">
        <v>2133</v>
      </c>
      <c r="F612" t="s">
        <v>2349</v>
      </c>
      <c r="G612" t="s">
        <v>2374</v>
      </c>
      <c r="H612" t="s">
        <v>2375</v>
      </c>
      <c r="I612" t="s">
        <v>2374</v>
      </c>
      <c r="J612" t="str">
        <f>IF(COUNTIF(Table5[Country],Table310[Country])&gt;0,"Y","N")</f>
        <v>N</v>
      </c>
      <c r="K612">
        <f>IF(Table310[[#This Row],[Adverse Media]]="Y",15,0)+IF(Table310[[#This Row],[PEP]]="Y",50,0)+IF(Table310[[#This Row],[Sanctions]]="Y",70,0)+IF(Table310[[#This Row],[High Risk Country]]="Y",25,0)</f>
        <v>50</v>
      </c>
      <c r="L612" t="str">
        <f>_xlfn.IFS(Table310[[#This Row],[Risk Score]]&gt;=85,"Critical",Table310[[#This Row],[Risk Score]]&gt;=65,"High",Table310[[#This Row],[Risk Score]]&gt;=45,"Medium",TRUE,"Low")</f>
        <v>Medium</v>
      </c>
    </row>
    <row r="613" spans="1:12" x14ac:dyDescent="0.3">
      <c r="A613" t="s">
        <v>999</v>
      </c>
      <c r="B613" t="s">
        <v>1344</v>
      </c>
      <c r="C613" t="s">
        <v>188</v>
      </c>
      <c r="D613" t="s">
        <v>217</v>
      </c>
      <c r="E613" t="s">
        <v>2134</v>
      </c>
      <c r="F613" t="s">
        <v>2350</v>
      </c>
      <c r="G613" t="s">
        <v>2375</v>
      </c>
      <c r="H613" t="s">
        <v>2375</v>
      </c>
      <c r="I613" t="s">
        <v>2374</v>
      </c>
      <c r="J613" t="str">
        <f>IF(COUNTIF(Table5[Country],Table310[Country])&gt;0,"Y","N")</f>
        <v>Y</v>
      </c>
      <c r="K613">
        <f>IF(Table310[[#This Row],[Adverse Media]]="Y",15,0)+IF(Table310[[#This Row],[PEP]]="Y",50,0)+IF(Table310[[#This Row],[Sanctions]]="Y",70,0)+IF(Table310[[#This Row],[High Risk Country]]="Y",25,0)</f>
        <v>90</v>
      </c>
      <c r="L613" t="str">
        <f>_xlfn.IFS(Table310[[#This Row],[Risk Score]]&gt;=85,"Critical",Table310[[#This Row],[Risk Score]]&gt;=65,"High",Table310[[#This Row],[Risk Score]]&gt;=45,"Medium",TRUE,"Low")</f>
        <v>Critical</v>
      </c>
    </row>
    <row r="614" spans="1:12" x14ac:dyDescent="0.3">
      <c r="A614" t="s">
        <v>1000</v>
      </c>
      <c r="B614" t="s">
        <v>1345</v>
      </c>
      <c r="C614" t="s">
        <v>188</v>
      </c>
      <c r="D614" t="s">
        <v>242</v>
      </c>
      <c r="E614" t="s">
        <v>542</v>
      </c>
      <c r="F614" t="s">
        <v>2351</v>
      </c>
      <c r="G614" t="s">
        <v>2374</v>
      </c>
      <c r="H614" t="s">
        <v>2375</v>
      </c>
      <c r="I614" t="s">
        <v>2374</v>
      </c>
      <c r="J614" t="str">
        <f>IF(COUNTIF(Table5[Country],Table310[Country])&gt;0,"Y","N")</f>
        <v>N</v>
      </c>
      <c r="K614">
        <f>IF(Table310[[#This Row],[Adverse Media]]="Y",15,0)+IF(Table310[[#This Row],[PEP]]="Y",50,0)+IF(Table310[[#This Row],[Sanctions]]="Y",70,0)+IF(Table310[[#This Row],[High Risk Country]]="Y",25,0)</f>
        <v>50</v>
      </c>
      <c r="L614" t="str">
        <f>_xlfn.IFS(Table310[[#This Row],[Risk Score]]&gt;=85,"Critical",Table310[[#This Row],[Risk Score]]&gt;=65,"High",Table310[[#This Row],[Risk Score]]&gt;=45,"Medium",TRUE,"Low")</f>
        <v>Medium</v>
      </c>
    </row>
    <row r="615" spans="1:12" x14ac:dyDescent="0.3">
      <c r="A615" t="s">
        <v>1001</v>
      </c>
      <c r="B615" t="s">
        <v>1346</v>
      </c>
      <c r="C615" t="s">
        <v>188</v>
      </c>
      <c r="D615" t="s">
        <v>233</v>
      </c>
      <c r="E615" t="s">
        <v>2135</v>
      </c>
      <c r="F615" t="s">
        <v>594</v>
      </c>
      <c r="G615" t="s">
        <v>2374</v>
      </c>
      <c r="H615" t="s">
        <v>2374</v>
      </c>
      <c r="I615" t="s">
        <v>2374</v>
      </c>
      <c r="J615" t="str">
        <f>IF(COUNTIF(Table5[Country],Table310[Country])&gt;0,"Y","N")</f>
        <v>N</v>
      </c>
      <c r="K615">
        <f>IF(Table310[[#This Row],[Adverse Media]]="Y",15,0)+IF(Table310[[#This Row],[PEP]]="Y",50,0)+IF(Table310[[#This Row],[Sanctions]]="Y",70,0)+IF(Table310[[#This Row],[High Risk Country]]="Y",25,0)</f>
        <v>0</v>
      </c>
      <c r="L615" t="str">
        <f>_xlfn.IFS(Table310[[#This Row],[Risk Score]]&gt;=85,"Critical",Table310[[#This Row],[Risk Score]]&gt;=65,"High",Table310[[#This Row],[Risk Score]]&gt;=45,"Medium",TRUE,"Low")</f>
        <v>Low</v>
      </c>
    </row>
    <row r="616" spans="1:12" x14ac:dyDescent="0.3">
      <c r="A616" t="s">
        <v>1002</v>
      </c>
      <c r="B616" t="s">
        <v>1347</v>
      </c>
      <c r="C616" t="s">
        <v>188</v>
      </c>
      <c r="D616" t="s">
        <v>200</v>
      </c>
      <c r="E616" t="s">
        <v>576</v>
      </c>
      <c r="F616" t="s">
        <v>2352</v>
      </c>
      <c r="G616" t="s">
        <v>2374</v>
      </c>
      <c r="H616" t="s">
        <v>2374</v>
      </c>
      <c r="I616" t="s">
        <v>2374</v>
      </c>
      <c r="J616" t="str">
        <f>IF(COUNTIF(Table5[Country],Table310[Country])&gt;0,"Y","N")</f>
        <v>N</v>
      </c>
      <c r="K616">
        <f>IF(Table310[[#This Row],[Adverse Media]]="Y",15,0)+IF(Table310[[#This Row],[PEP]]="Y",50,0)+IF(Table310[[#This Row],[Sanctions]]="Y",70,0)+IF(Table310[[#This Row],[High Risk Country]]="Y",25,0)</f>
        <v>0</v>
      </c>
      <c r="L616" t="str">
        <f>_xlfn.IFS(Table310[[#This Row],[Risk Score]]&gt;=85,"Critical",Table310[[#This Row],[Risk Score]]&gt;=65,"High",Table310[[#This Row],[Risk Score]]&gt;=45,"Medium",TRUE,"Low")</f>
        <v>Low</v>
      </c>
    </row>
    <row r="617" spans="1:12" x14ac:dyDescent="0.3">
      <c r="A617" t="s">
        <v>1003</v>
      </c>
      <c r="B617" t="s">
        <v>1348</v>
      </c>
      <c r="C617" t="s">
        <v>188</v>
      </c>
      <c r="D617" t="s">
        <v>242</v>
      </c>
      <c r="E617" t="s">
        <v>2136</v>
      </c>
      <c r="F617" t="s">
        <v>353</v>
      </c>
      <c r="G617" t="s">
        <v>2375</v>
      </c>
      <c r="H617" t="s">
        <v>2375</v>
      </c>
      <c r="I617" t="s">
        <v>2374</v>
      </c>
      <c r="J617" t="str">
        <f>IF(COUNTIF(Table5[Country],Table310[Country])&gt;0,"Y","N")</f>
        <v>N</v>
      </c>
      <c r="K617">
        <f>IF(Table310[[#This Row],[Adverse Media]]="Y",15,0)+IF(Table310[[#This Row],[PEP]]="Y",50,0)+IF(Table310[[#This Row],[Sanctions]]="Y",70,0)+IF(Table310[[#This Row],[High Risk Country]]="Y",25,0)</f>
        <v>65</v>
      </c>
      <c r="L617" t="str">
        <f>_xlfn.IFS(Table310[[#This Row],[Risk Score]]&gt;=85,"Critical",Table310[[#This Row],[Risk Score]]&gt;=65,"High",Table310[[#This Row],[Risk Score]]&gt;=45,"Medium",TRUE,"Low")</f>
        <v>High</v>
      </c>
    </row>
    <row r="618" spans="1:12" x14ac:dyDescent="0.3">
      <c r="A618" t="s">
        <v>1004</v>
      </c>
      <c r="B618" t="s">
        <v>1349</v>
      </c>
      <c r="C618" t="s">
        <v>188</v>
      </c>
      <c r="D618" t="s">
        <v>215</v>
      </c>
      <c r="E618" t="s">
        <v>2137</v>
      </c>
      <c r="F618" t="s">
        <v>2353</v>
      </c>
      <c r="G618" t="s">
        <v>2374</v>
      </c>
      <c r="H618" t="s">
        <v>2374</v>
      </c>
      <c r="I618" t="s">
        <v>2375</v>
      </c>
      <c r="J618" t="str">
        <f>IF(COUNTIF(Table5[Country],Table310[Country])&gt;0,"Y","N")</f>
        <v>Y</v>
      </c>
      <c r="K618">
        <f>IF(Table310[[#This Row],[Adverse Media]]="Y",15,0)+IF(Table310[[#This Row],[PEP]]="Y",50,0)+IF(Table310[[#This Row],[Sanctions]]="Y",70,0)+IF(Table310[[#This Row],[High Risk Country]]="Y",25,0)</f>
        <v>95</v>
      </c>
      <c r="L618" t="str">
        <f>_xlfn.IFS(Table310[[#This Row],[Risk Score]]&gt;=85,"Critical",Table310[[#This Row],[Risk Score]]&gt;=65,"High",Table310[[#This Row],[Risk Score]]&gt;=45,"Medium",TRUE,"Low")</f>
        <v>Critical</v>
      </c>
    </row>
    <row r="619" spans="1:12" x14ac:dyDescent="0.3">
      <c r="A619" t="s">
        <v>1005</v>
      </c>
      <c r="B619" t="s">
        <v>1350</v>
      </c>
      <c r="C619" t="s">
        <v>188</v>
      </c>
      <c r="D619" t="s">
        <v>248</v>
      </c>
      <c r="E619" t="s">
        <v>2138</v>
      </c>
      <c r="F619" t="s">
        <v>2354</v>
      </c>
      <c r="G619" t="s">
        <v>2374</v>
      </c>
      <c r="H619" t="s">
        <v>2375</v>
      </c>
      <c r="I619" t="s">
        <v>2375</v>
      </c>
      <c r="J619" t="str">
        <f>IF(COUNTIF(Table5[Country],Table310[Country])&gt;0,"Y","N")</f>
        <v>N</v>
      </c>
      <c r="K619">
        <f>IF(Table310[[#This Row],[Adverse Media]]="Y",15,0)+IF(Table310[[#This Row],[PEP]]="Y",50,0)+IF(Table310[[#This Row],[Sanctions]]="Y",70,0)+IF(Table310[[#This Row],[High Risk Country]]="Y",25,0)</f>
        <v>120</v>
      </c>
      <c r="L619" t="str">
        <f>_xlfn.IFS(Table310[[#This Row],[Risk Score]]&gt;=85,"Critical",Table310[[#This Row],[Risk Score]]&gt;=65,"High",Table310[[#This Row],[Risk Score]]&gt;=45,"Medium",TRUE,"Low")</f>
        <v>Critical</v>
      </c>
    </row>
    <row r="620" spans="1:12" x14ac:dyDescent="0.3">
      <c r="A620" t="s">
        <v>1006</v>
      </c>
      <c r="B620" t="s">
        <v>1351</v>
      </c>
      <c r="C620" t="s">
        <v>188</v>
      </c>
      <c r="D620" t="s">
        <v>197</v>
      </c>
      <c r="E620" t="s">
        <v>341</v>
      </c>
      <c r="F620" t="s">
        <v>2355</v>
      </c>
      <c r="G620" t="s">
        <v>2375</v>
      </c>
      <c r="H620" t="s">
        <v>2375</v>
      </c>
      <c r="I620" t="s">
        <v>2374</v>
      </c>
      <c r="J620" t="str">
        <f>IF(COUNTIF(Table5[Country],Table310[Country])&gt;0,"Y","N")</f>
        <v>Y</v>
      </c>
      <c r="K620">
        <f>IF(Table310[[#This Row],[Adverse Media]]="Y",15,0)+IF(Table310[[#This Row],[PEP]]="Y",50,0)+IF(Table310[[#This Row],[Sanctions]]="Y",70,0)+IF(Table310[[#This Row],[High Risk Country]]="Y",25,0)</f>
        <v>90</v>
      </c>
      <c r="L620" t="str">
        <f>_xlfn.IFS(Table310[[#This Row],[Risk Score]]&gt;=85,"Critical",Table310[[#This Row],[Risk Score]]&gt;=65,"High",Table310[[#This Row],[Risk Score]]&gt;=45,"Medium",TRUE,"Low")</f>
        <v>Critical</v>
      </c>
    </row>
    <row r="621" spans="1:12" x14ac:dyDescent="0.3">
      <c r="A621" t="s">
        <v>1007</v>
      </c>
      <c r="B621" t="s">
        <v>1352</v>
      </c>
      <c r="C621" t="s">
        <v>188</v>
      </c>
      <c r="D621" t="s">
        <v>222</v>
      </c>
      <c r="E621" t="s">
        <v>350</v>
      </c>
      <c r="F621" t="s">
        <v>2356</v>
      </c>
      <c r="G621" t="s">
        <v>2374</v>
      </c>
      <c r="H621" t="s">
        <v>2374</v>
      </c>
      <c r="I621" t="s">
        <v>2374</v>
      </c>
      <c r="J621" t="str">
        <f>IF(COUNTIF(Table5[Country],Table310[Country])&gt;0,"Y","N")</f>
        <v>N</v>
      </c>
      <c r="K621">
        <f>IF(Table310[[#This Row],[Adverse Media]]="Y",15,0)+IF(Table310[[#This Row],[PEP]]="Y",50,0)+IF(Table310[[#This Row],[Sanctions]]="Y",70,0)+IF(Table310[[#This Row],[High Risk Country]]="Y",25,0)</f>
        <v>0</v>
      </c>
      <c r="L621" t="str">
        <f>_xlfn.IFS(Table310[[#This Row],[Risk Score]]&gt;=85,"Critical",Table310[[#This Row],[Risk Score]]&gt;=65,"High",Table310[[#This Row],[Risk Score]]&gt;=45,"Medium",TRUE,"Low")</f>
        <v>Low</v>
      </c>
    </row>
    <row r="622" spans="1:12" x14ac:dyDescent="0.3">
      <c r="A622" t="s">
        <v>1008</v>
      </c>
      <c r="B622" t="s">
        <v>1353</v>
      </c>
      <c r="C622" t="s">
        <v>188</v>
      </c>
      <c r="D622" t="s">
        <v>242</v>
      </c>
      <c r="E622" t="s">
        <v>2139</v>
      </c>
      <c r="F622" t="s">
        <v>2357</v>
      </c>
      <c r="G622" t="s">
        <v>2375</v>
      </c>
      <c r="H622" t="s">
        <v>2375</v>
      </c>
      <c r="I622" t="s">
        <v>2375</v>
      </c>
      <c r="J622" t="str">
        <f>IF(COUNTIF(Table5[Country],Table310[Country])&gt;0,"Y","N")</f>
        <v>N</v>
      </c>
      <c r="K622">
        <f>IF(Table310[[#This Row],[Adverse Media]]="Y",15,0)+IF(Table310[[#This Row],[PEP]]="Y",50,0)+IF(Table310[[#This Row],[Sanctions]]="Y",70,0)+IF(Table310[[#This Row],[High Risk Country]]="Y",25,0)</f>
        <v>135</v>
      </c>
      <c r="L622" t="str">
        <f>_xlfn.IFS(Table310[[#This Row],[Risk Score]]&gt;=85,"Critical",Table310[[#This Row],[Risk Score]]&gt;=65,"High",Table310[[#This Row],[Risk Score]]&gt;=45,"Medium",TRUE,"Low")</f>
        <v>Critical</v>
      </c>
    </row>
    <row r="623" spans="1:12" x14ac:dyDescent="0.3">
      <c r="A623" t="s">
        <v>1009</v>
      </c>
      <c r="B623" t="s">
        <v>1354</v>
      </c>
      <c r="C623" t="s">
        <v>188</v>
      </c>
      <c r="D623" t="s">
        <v>222</v>
      </c>
      <c r="E623" t="s">
        <v>270</v>
      </c>
      <c r="F623" t="s">
        <v>2358</v>
      </c>
      <c r="G623" t="s">
        <v>2374</v>
      </c>
      <c r="H623" t="s">
        <v>2374</v>
      </c>
      <c r="I623" t="s">
        <v>2374</v>
      </c>
      <c r="J623" t="str">
        <f>IF(COUNTIF(Table5[Country],Table310[Country])&gt;0,"Y","N")</f>
        <v>N</v>
      </c>
      <c r="K623">
        <f>IF(Table310[[#This Row],[Adverse Media]]="Y",15,0)+IF(Table310[[#This Row],[PEP]]="Y",50,0)+IF(Table310[[#This Row],[Sanctions]]="Y",70,0)+IF(Table310[[#This Row],[High Risk Country]]="Y",25,0)</f>
        <v>0</v>
      </c>
      <c r="L623" t="str">
        <f>_xlfn.IFS(Table310[[#This Row],[Risk Score]]&gt;=85,"Critical",Table310[[#This Row],[Risk Score]]&gt;=65,"High",Table310[[#This Row],[Risk Score]]&gt;=45,"Medium",TRUE,"Low")</f>
        <v>Low</v>
      </c>
    </row>
    <row r="624" spans="1:12" x14ac:dyDescent="0.3">
      <c r="A624" t="s">
        <v>1010</v>
      </c>
      <c r="B624" t="s">
        <v>1355</v>
      </c>
      <c r="C624" t="s">
        <v>188</v>
      </c>
      <c r="D624" t="s">
        <v>211</v>
      </c>
      <c r="E624" t="s">
        <v>310</v>
      </c>
      <c r="F624" t="s">
        <v>2359</v>
      </c>
      <c r="G624" t="s">
        <v>2375</v>
      </c>
      <c r="H624" t="s">
        <v>2374</v>
      </c>
      <c r="I624" t="s">
        <v>2374</v>
      </c>
      <c r="J624" t="str">
        <f>IF(COUNTIF(Table5[Country],Table310[Country])&gt;0,"Y","N")</f>
        <v>N</v>
      </c>
      <c r="K624">
        <f>IF(Table310[[#This Row],[Adverse Media]]="Y",15,0)+IF(Table310[[#This Row],[PEP]]="Y",50,0)+IF(Table310[[#This Row],[Sanctions]]="Y",70,0)+IF(Table310[[#This Row],[High Risk Country]]="Y",25,0)</f>
        <v>15</v>
      </c>
      <c r="L624" t="str">
        <f>_xlfn.IFS(Table310[[#This Row],[Risk Score]]&gt;=85,"Critical",Table310[[#This Row],[Risk Score]]&gt;=65,"High",Table310[[#This Row],[Risk Score]]&gt;=45,"Medium",TRUE,"Low")</f>
        <v>Low</v>
      </c>
    </row>
    <row r="625" spans="1:12" x14ac:dyDescent="0.3">
      <c r="A625" t="s">
        <v>1011</v>
      </c>
      <c r="B625" t="s">
        <v>1356</v>
      </c>
      <c r="C625" t="s">
        <v>188</v>
      </c>
      <c r="D625" t="s">
        <v>247</v>
      </c>
      <c r="E625" t="s">
        <v>593</v>
      </c>
      <c r="F625" t="s">
        <v>325</v>
      </c>
      <c r="G625" t="s">
        <v>2374</v>
      </c>
      <c r="H625" t="s">
        <v>2374</v>
      </c>
      <c r="I625" t="s">
        <v>2374</v>
      </c>
      <c r="J625" t="str">
        <f>IF(COUNTIF(Table5[Country],Table310[Country])&gt;0,"Y","N")</f>
        <v>Y</v>
      </c>
      <c r="K625">
        <f>IF(Table310[[#This Row],[Adverse Media]]="Y",15,0)+IF(Table310[[#This Row],[PEP]]="Y",50,0)+IF(Table310[[#This Row],[Sanctions]]="Y",70,0)+IF(Table310[[#This Row],[High Risk Country]]="Y",25,0)</f>
        <v>25</v>
      </c>
      <c r="L625" t="str">
        <f>_xlfn.IFS(Table310[[#This Row],[Risk Score]]&gt;=85,"Critical",Table310[[#This Row],[Risk Score]]&gt;=65,"High",Table310[[#This Row],[Risk Score]]&gt;=45,"Medium",TRUE,"Low")</f>
        <v>Low</v>
      </c>
    </row>
    <row r="626" spans="1:12" x14ac:dyDescent="0.3">
      <c r="A626" t="s">
        <v>1012</v>
      </c>
      <c r="B626" t="s">
        <v>1357</v>
      </c>
      <c r="C626" t="s">
        <v>188</v>
      </c>
      <c r="D626" t="s">
        <v>244</v>
      </c>
      <c r="E626" t="s">
        <v>409</v>
      </c>
      <c r="F626" t="s">
        <v>2360</v>
      </c>
      <c r="G626" t="s">
        <v>2375</v>
      </c>
      <c r="H626" t="s">
        <v>2374</v>
      </c>
      <c r="I626" t="s">
        <v>2374</v>
      </c>
      <c r="J626" t="str">
        <f>IF(COUNTIF(Table5[Country],Table310[Country])&gt;0,"Y","N")</f>
        <v>Y</v>
      </c>
      <c r="K626">
        <f>IF(Table310[[#This Row],[Adverse Media]]="Y",15,0)+IF(Table310[[#This Row],[PEP]]="Y",50,0)+IF(Table310[[#This Row],[Sanctions]]="Y",70,0)+IF(Table310[[#This Row],[High Risk Country]]="Y",25,0)</f>
        <v>40</v>
      </c>
      <c r="L626" t="str">
        <f>_xlfn.IFS(Table310[[#This Row],[Risk Score]]&gt;=85,"Critical",Table310[[#This Row],[Risk Score]]&gt;=65,"High",Table310[[#This Row],[Risk Score]]&gt;=45,"Medium",TRUE,"Low")</f>
        <v>Low</v>
      </c>
    </row>
    <row r="627" spans="1:12" x14ac:dyDescent="0.3">
      <c r="A627" t="s">
        <v>1013</v>
      </c>
      <c r="B627" t="s">
        <v>1358</v>
      </c>
      <c r="C627" t="s">
        <v>188</v>
      </c>
      <c r="D627" t="s">
        <v>227</v>
      </c>
      <c r="E627" t="s">
        <v>608</v>
      </c>
      <c r="F627" t="s">
        <v>2361</v>
      </c>
      <c r="G627" t="s">
        <v>2375</v>
      </c>
      <c r="H627" t="s">
        <v>2374</v>
      </c>
      <c r="I627" t="s">
        <v>2375</v>
      </c>
      <c r="J627" t="str">
        <f>IF(COUNTIF(Table5[Country],Table310[Country])&gt;0,"Y","N")</f>
        <v>N</v>
      </c>
      <c r="K627">
        <f>IF(Table310[[#This Row],[Adverse Media]]="Y",15,0)+IF(Table310[[#This Row],[PEP]]="Y",50,0)+IF(Table310[[#This Row],[Sanctions]]="Y",70,0)+IF(Table310[[#This Row],[High Risk Country]]="Y",25,0)</f>
        <v>85</v>
      </c>
      <c r="L627" t="str">
        <f>_xlfn.IFS(Table310[[#This Row],[Risk Score]]&gt;=85,"Critical",Table310[[#This Row],[Risk Score]]&gt;=65,"High",Table310[[#This Row],[Risk Score]]&gt;=45,"Medium",TRUE,"Low")</f>
        <v>Critical</v>
      </c>
    </row>
    <row r="628" spans="1:12" x14ac:dyDescent="0.3">
      <c r="A628" t="s">
        <v>1014</v>
      </c>
      <c r="B628" t="s">
        <v>1359</v>
      </c>
      <c r="C628" t="s">
        <v>188</v>
      </c>
      <c r="D628" t="s">
        <v>242</v>
      </c>
      <c r="E628" t="s">
        <v>2140</v>
      </c>
      <c r="F628" t="s">
        <v>2362</v>
      </c>
      <c r="G628" t="s">
        <v>2374</v>
      </c>
      <c r="H628" t="s">
        <v>2374</v>
      </c>
      <c r="I628" t="s">
        <v>2375</v>
      </c>
      <c r="J628" t="str">
        <f>IF(COUNTIF(Table5[Country],Table310[Country])&gt;0,"Y","N")</f>
        <v>N</v>
      </c>
      <c r="K628">
        <f>IF(Table310[[#This Row],[Adverse Media]]="Y",15,0)+IF(Table310[[#This Row],[PEP]]="Y",50,0)+IF(Table310[[#This Row],[Sanctions]]="Y",70,0)+IF(Table310[[#This Row],[High Risk Country]]="Y",25,0)</f>
        <v>70</v>
      </c>
      <c r="L628" t="str">
        <f>_xlfn.IFS(Table310[[#This Row],[Risk Score]]&gt;=85,"Critical",Table310[[#This Row],[Risk Score]]&gt;=65,"High",Table310[[#This Row],[Risk Score]]&gt;=45,"Medium",TRUE,"Low")</f>
        <v>High</v>
      </c>
    </row>
    <row r="629" spans="1:12" x14ac:dyDescent="0.3">
      <c r="A629" t="s">
        <v>1015</v>
      </c>
      <c r="B629" t="s">
        <v>1360</v>
      </c>
      <c r="C629" t="s">
        <v>188</v>
      </c>
      <c r="D629" t="s">
        <v>249</v>
      </c>
      <c r="E629" t="s">
        <v>2031</v>
      </c>
      <c r="F629" t="s">
        <v>2363</v>
      </c>
      <c r="G629" t="s">
        <v>2374</v>
      </c>
      <c r="H629" t="s">
        <v>2374</v>
      </c>
      <c r="I629" t="s">
        <v>2375</v>
      </c>
      <c r="J629" t="str">
        <f>IF(COUNTIF(Table5[Country],Table310[Country])&gt;0,"Y","N")</f>
        <v>N</v>
      </c>
      <c r="K629">
        <f>IF(Table310[[#This Row],[Adverse Media]]="Y",15,0)+IF(Table310[[#This Row],[PEP]]="Y",50,0)+IF(Table310[[#This Row],[Sanctions]]="Y",70,0)+IF(Table310[[#This Row],[High Risk Country]]="Y",25,0)</f>
        <v>70</v>
      </c>
      <c r="L629" t="str">
        <f>_xlfn.IFS(Table310[[#This Row],[Risk Score]]&gt;=85,"Critical",Table310[[#This Row],[Risk Score]]&gt;=65,"High",Table310[[#This Row],[Risk Score]]&gt;=45,"Medium",TRUE,"Low")</f>
        <v>High</v>
      </c>
    </row>
    <row r="630" spans="1:12" x14ac:dyDescent="0.3">
      <c r="A630" t="s">
        <v>1016</v>
      </c>
      <c r="B630" t="s">
        <v>1361</v>
      </c>
      <c r="C630" t="s">
        <v>188</v>
      </c>
      <c r="D630" t="s">
        <v>191</v>
      </c>
      <c r="E630" t="s">
        <v>2141</v>
      </c>
      <c r="F630" t="s">
        <v>2364</v>
      </c>
      <c r="G630" t="s">
        <v>2374</v>
      </c>
      <c r="H630" t="s">
        <v>2374</v>
      </c>
      <c r="I630" t="s">
        <v>2374</v>
      </c>
      <c r="J630" t="str">
        <f>IF(COUNTIF(Table5[Country],Table310[Country])&gt;0,"Y","N")</f>
        <v>N</v>
      </c>
      <c r="K630">
        <f>IF(Table310[[#This Row],[Adverse Media]]="Y",15,0)+IF(Table310[[#This Row],[PEP]]="Y",50,0)+IF(Table310[[#This Row],[Sanctions]]="Y",70,0)+IF(Table310[[#This Row],[High Risk Country]]="Y",25,0)</f>
        <v>0</v>
      </c>
      <c r="L630" t="str">
        <f>_xlfn.IFS(Table310[[#This Row],[Risk Score]]&gt;=85,"Critical",Table310[[#This Row],[Risk Score]]&gt;=65,"High",Table310[[#This Row],[Risk Score]]&gt;=45,"Medium",TRUE,"Low")</f>
        <v>Low</v>
      </c>
    </row>
    <row r="631" spans="1:12" x14ac:dyDescent="0.3">
      <c r="A631" t="s">
        <v>1017</v>
      </c>
      <c r="B631" t="s">
        <v>1362</v>
      </c>
      <c r="C631" t="s">
        <v>188</v>
      </c>
      <c r="D631" t="s">
        <v>192</v>
      </c>
      <c r="E631" t="s">
        <v>478</v>
      </c>
      <c r="F631" t="s">
        <v>2365</v>
      </c>
      <c r="G631" t="s">
        <v>2374</v>
      </c>
      <c r="H631" t="s">
        <v>2374</v>
      </c>
      <c r="I631" t="s">
        <v>2374</v>
      </c>
      <c r="J631" t="str">
        <f>IF(COUNTIF(Table5[Country],Table310[Country])&gt;0,"Y","N")</f>
        <v>N</v>
      </c>
      <c r="K631">
        <f>IF(Table310[[#This Row],[Adverse Media]]="Y",15,0)+IF(Table310[[#This Row],[PEP]]="Y",50,0)+IF(Table310[[#This Row],[Sanctions]]="Y",70,0)+IF(Table310[[#This Row],[High Risk Country]]="Y",25,0)</f>
        <v>0</v>
      </c>
      <c r="L631" t="str">
        <f>_xlfn.IFS(Table310[[#This Row],[Risk Score]]&gt;=85,"Critical",Table310[[#This Row],[Risk Score]]&gt;=65,"High",Table310[[#This Row],[Risk Score]]&gt;=45,"Medium",TRUE,"Low")</f>
        <v>Low</v>
      </c>
    </row>
    <row r="632" spans="1:12" x14ac:dyDescent="0.3">
      <c r="A632" t="s">
        <v>1018</v>
      </c>
      <c r="B632" t="s">
        <v>1363</v>
      </c>
      <c r="C632" t="s">
        <v>188</v>
      </c>
      <c r="D632" t="s">
        <v>209</v>
      </c>
      <c r="E632" t="s">
        <v>422</v>
      </c>
      <c r="F632" t="s">
        <v>508</v>
      </c>
      <c r="G632" t="s">
        <v>2375</v>
      </c>
      <c r="H632" t="s">
        <v>2374</v>
      </c>
      <c r="I632" t="s">
        <v>2374</v>
      </c>
      <c r="J632" t="str">
        <f>IF(COUNTIF(Table5[Country],Table310[Country])&gt;0,"Y","N")</f>
        <v>N</v>
      </c>
      <c r="K632">
        <f>IF(Table310[[#This Row],[Adverse Media]]="Y",15,0)+IF(Table310[[#This Row],[PEP]]="Y",50,0)+IF(Table310[[#This Row],[Sanctions]]="Y",70,0)+IF(Table310[[#This Row],[High Risk Country]]="Y",25,0)</f>
        <v>15</v>
      </c>
      <c r="L632" t="str">
        <f>_xlfn.IFS(Table310[[#This Row],[Risk Score]]&gt;=85,"Critical",Table310[[#This Row],[Risk Score]]&gt;=65,"High",Table310[[#This Row],[Risk Score]]&gt;=45,"Medium",TRUE,"Low")</f>
        <v>Low</v>
      </c>
    </row>
    <row r="633" spans="1:12" x14ac:dyDescent="0.3">
      <c r="A633" t="s">
        <v>1019</v>
      </c>
      <c r="B633" t="s">
        <v>1364</v>
      </c>
      <c r="C633" t="s">
        <v>188</v>
      </c>
      <c r="D633" t="s">
        <v>192</v>
      </c>
      <c r="E633" t="s">
        <v>2142</v>
      </c>
      <c r="F633" t="s">
        <v>2053</v>
      </c>
      <c r="G633" t="s">
        <v>2375</v>
      </c>
      <c r="H633" t="s">
        <v>2374</v>
      </c>
      <c r="I633" t="s">
        <v>2374</v>
      </c>
      <c r="J633" t="str">
        <f>IF(COUNTIF(Table5[Country],Table310[Country])&gt;0,"Y","N")</f>
        <v>N</v>
      </c>
      <c r="K633">
        <f>IF(Table310[[#This Row],[Adverse Media]]="Y",15,0)+IF(Table310[[#This Row],[PEP]]="Y",50,0)+IF(Table310[[#This Row],[Sanctions]]="Y",70,0)+IF(Table310[[#This Row],[High Risk Country]]="Y",25,0)</f>
        <v>15</v>
      </c>
      <c r="L633" t="str">
        <f>_xlfn.IFS(Table310[[#This Row],[Risk Score]]&gt;=85,"Critical",Table310[[#This Row],[Risk Score]]&gt;=65,"High",Table310[[#This Row],[Risk Score]]&gt;=45,"Medium",TRUE,"Low")</f>
        <v>Low</v>
      </c>
    </row>
    <row r="634" spans="1:12" x14ac:dyDescent="0.3">
      <c r="A634" t="s">
        <v>1020</v>
      </c>
      <c r="B634" t="s">
        <v>1365</v>
      </c>
      <c r="C634" t="s">
        <v>188</v>
      </c>
      <c r="D634" t="s">
        <v>191</v>
      </c>
      <c r="E634" t="s">
        <v>1972</v>
      </c>
      <c r="F634" t="s">
        <v>2366</v>
      </c>
      <c r="G634" t="s">
        <v>2374</v>
      </c>
      <c r="H634" t="s">
        <v>2374</v>
      </c>
      <c r="I634" t="s">
        <v>2374</v>
      </c>
      <c r="J634" t="str">
        <f>IF(COUNTIF(Table5[Country],Table310[Country])&gt;0,"Y","N")</f>
        <v>N</v>
      </c>
      <c r="K634">
        <f>IF(Table310[[#This Row],[Adverse Media]]="Y",15,0)+IF(Table310[[#This Row],[PEP]]="Y",50,0)+IF(Table310[[#This Row],[Sanctions]]="Y",70,0)+IF(Table310[[#This Row],[High Risk Country]]="Y",25,0)</f>
        <v>0</v>
      </c>
      <c r="L634" t="str">
        <f>_xlfn.IFS(Table310[[#This Row],[Risk Score]]&gt;=85,"Critical",Table310[[#This Row],[Risk Score]]&gt;=65,"High",Table310[[#This Row],[Risk Score]]&gt;=45,"Medium",TRUE,"Low")</f>
        <v>Low</v>
      </c>
    </row>
    <row r="635" spans="1:12" x14ac:dyDescent="0.3">
      <c r="A635" t="s">
        <v>1021</v>
      </c>
      <c r="B635" t="s">
        <v>1366</v>
      </c>
      <c r="C635" t="s">
        <v>188</v>
      </c>
      <c r="D635" t="s">
        <v>209</v>
      </c>
      <c r="E635" t="s">
        <v>506</v>
      </c>
      <c r="F635" t="s">
        <v>1956</v>
      </c>
      <c r="G635" t="s">
        <v>2375</v>
      </c>
      <c r="H635" t="s">
        <v>2374</v>
      </c>
      <c r="I635" t="s">
        <v>2374</v>
      </c>
      <c r="J635" t="str">
        <f>IF(COUNTIF(Table5[Country],Table310[Country])&gt;0,"Y","N")</f>
        <v>N</v>
      </c>
      <c r="K635">
        <f>IF(Table310[[#This Row],[Adverse Media]]="Y",15,0)+IF(Table310[[#This Row],[PEP]]="Y",50,0)+IF(Table310[[#This Row],[Sanctions]]="Y",70,0)+IF(Table310[[#This Row],[High Risk Country]]="Y",25,0)</f>
        <v>15</v>
      </c>
      <c r="L635" t="str">
        <f>_xlfn.IFS(Table310[[#This Row],[Risk Score]]&gt;=85,"Critical",Table310[[#This Row],[Risk Score]]&gt;=65,"High",Table310[[#This Row],[Risk Score]]&gt;=45,"Medium",TRUE,"Low")</f>
        <v>Low</v>
      </c>
    </row>
    <row r="636" spans="1:12" x14ac:dyDescent="0.3">
      <c r="A636" t="s">
        <v>1022</v>
      </c>
      <c r="B636" t="s">
        <v>1367</v>
      </c>
      <c r="C636" t="s">
        <v>188</v>
      </c>
      <c r="D636" t="s">
        <v>244</v>
      </c>
      <c r="E636" t="s">
        <v>2143</v>
      </c>
      <c r="F636" t="s">
        <v>2367</v>
      </c>
      <c r="G636" t="s">
        <v>2374</v>
      </c>
      <c r="H636" t="s">
        <v>2374</v>
      </c>
      <c r="I636" t="s">
        <v>2374</v>
      </c>
      <c r="J636" t="str">
        <f>IF(COUNTIF(Table5[Country],Table310[Country])&gt;0,"Y","N")</f>
        <v>Y</v>
      </c>
      <c r="K636">
        <f>IF(Table310[[#This Row],[Adverse Media]]="Y",15,0)+IF(Table310[[#This Row],[PEP]]="Y",50,0)+IF(Table310[[#This Row],[Sanctions]]="Y",70,0)+IF(Table310[[#This Row],[High Risk Country]]="Y",25,0)</f>
        <v>25</v>
      </c>
      <c r="L636" t="str">
        <f>_xlfn.IFS(Table310[[#This Row],[Risk Score]]&gt;=85,"Critical",Table310[[#This Row],[Risk Score]]&gt;=65,"High",Table310[[#This Row],[Risk Score]]&gt;=45,"Medium",TRUE,"Low")</f>
        <v>Low</v>
      </c>
    </row>
    <row r="637" spans="1:12" x14ac:dyDescent="0.3">
      <c r="A637" t="s">
        <v>1023</v>
      </c>
      <c r="B637" t="s">
        <v>1368</v>
      </c>
      <c r="C637" t="s">
        <v>188</v>
      </c>
      <c r="D637" t="s">
        <v>244</v>
      </c>
      <c r="E637" t="s">
        <v>320</v>
      </c>
      <c r="F637" t="s">
        <v>456</v>
      </c>
      <c r="G637" t="s">
        <v>2374</v>
      </c>
      <c r="H637" t="s">
        <v>2374</v>
      </c>
      <c r="I637" t="s">
        <v>2374</v>
      </c>
      <c r="J637" t="str">
        <f>IF(COUNTIF(Table5[Country],Table310[Country])&gt;0,"Y","N")</f>
        <v>Y</v>
      </c>
      <c r="K637">
        <f>IF(Table310[[#This Row],[Adverse Media]]="Y",15,0)+IF(Table310[[#This Row],[PEP]]="Y",50,0)+IF(Table310[[#This Row],[Sanctions]]="Y",70,0)+IF(Table310[[#This Row],[High Risk Country]]="Y",25,0)</f>
        <v>25</v>
      </c>
      <c r="L637" t="str">
        <f>_xlfn.IFS(Table310[[#This Row],[Risk Score]]&gt;=85,"Critical",Table310[[#This Row],[Risk Score]]&gt;=65,"High",Table310[[#This Row],[Risk Score]]&gt;=45,"Medium",TRUE,"Low")</f>
        <v>Low</v>
      </c>
    </row>
    <row r="638" spans="1:12" x14ac:dyDescent="0.3">
      <c r="A638" t="s">
        <v>1024</v>
      </c>
      <c r="B638" t="s">
        <v>1369</v>
      </c>
      <c r="C638" t="s">
        <v>188</v>
      </c>
      <c r="D638" t="s">
        <v>237</v>
      </c>
      <c r="E638" t="s">
        <v>2144</v>
      </c>
      <c r="F638" t="s">
        <v>2368</v>
      </c>
      <c r="G638" t="s">
        <v>2375</v>
      </c>
      <c r="H638" t="s">
        <v>2374</v>
      </c>
      <c r="I638" t="s">
        <v>2374</v>
      </c>
      <c r="J638" t="str">
        <f>IF(COUNTIF(Table5[Country],Table310[Country])&gt;0,"Y","N")</f>
        <v>Y</v>
      </c>
      <c r="K638">
        <f>IF(Table310[[#This Row],[Adverse Media]]="Y",15,0)+IF(Table310[[#This Row],[PEP]]="Y",50,0)+IF(Table310[[#This Row],[Sanctions]]="Y",70,0)+IF(Table310[[#This Row],[High Risk Country]]="Y",25,0)</f>
        <v>40</v>
      </c>
      <c r="L638" t="str">
        <f>_xlfn.IFS(Table310[[#This Row],[Risk Score]]&gt;=85,"Critical",Table310[[#This Row],[Risk Score]]&gt;=65,"High",Table310[[#This Row],[Risk Score]]&gt;=45,"Medium",TRUE,"Low")</f>
        <v>Low</v>
      </c>
    </row>
    <row r="639" spans="1:12" x14ac:dyDescent="0.3">
      <c r="A639" t="s">
        <v>1025</v>
      </c>
      <c r="B639" t="s">
        <v>1370</v>
      </c>
      <c r="C639" t="s">
        <v>188</v>
      </c>
      <c r="D639" t="s">
        <v>244</v>
      </c>
      <c r="E639" t="s">
        <v>2145</v>
      </c>
      <c r="F639" t="s">
        <v>442</v>
      </c>
      <c r="G639" t="s">
        <v>2375</v>
      </c>
      <c r="H639" t="s">
        <v>2374</v>
      </c>
      <c r="I639" t="s">
        <v>2374</v>
      </c>
      <c r="J639" t="str">
        <f>IF(COUNTIF(Table5[Country],Table310[Country])&gt;0,"Y","N")</f>
        <v>Y</v>
      </c>
      <c r="K639">
        <f>IF(Table310[[#This Row],[Adverse Media]]="Y",15,0)+IF(Table310[[#This Row],[PEP]]="Y",50,0)+IF(Table310[[#This Row],[Sanctions]]="Y",70,0)+IF(Table310[[#This Row],[High Risk Country]]="Y",25,0)</f>
        <v>40</v>
      </c>
      <c r="L639" t="str">
        <f>_xlfn.IFS(Table310[[#This Row],[Risk Score]]&gt;=85,"Critical",Table310[[#This Row],[Risk Score]]&gt;=65,"High",Table310[[#This Row],[Risk Score]]&gt;=45,"Medium",TRUE,"Low")</f>
        <v>Low</v>
      </c>
    </row>
    <row r="640" spans="1:12" x14ac:dyDescent="0.3">
      <c r="A640" t="s">
        <v>1026</v>
      </c>
      <c r="B640" t="s">
        <v>1371</v>
      </c>
      <c r="C640" t="s">
        <v>188</v>
      </c>
      <c r="D640" t="s">
        <v>196</v>
      </c>
      <c r="E640" t="s">
        <v>2146</v>
      </c>
      <c r="F640" t="s">
        <v>2203</v>
      </c>
      <c r="G640" t="s">
        <v>2374</v>
      </c>
      <c r="H640" t="s">
        <v>2375</v>
      </c>
      <c r="I640" t="s">
        <v>2374</v>
      </c>
      <c r="J640" t="str">
        <f>IF(COUNTIF(Table5[Country],Table310[Country])&gt;0,"Y","N")</f>
        <v>Y</v>
      </c>
      <c r="K640">
        <f>IF(Table310[[#This Row],[Adverse Media]]="Y",15,0)+IF(Table310[[#This Row],[PEP]]="Y",50,0)+IF(Table310[[#This Row],[Sanctions]]="Y",70,0)+IF(Table310[[#This Row],[High Risk Country]]="Y",25,0)</f>
        <v>75</v>
      </c>
      <c r="L640" t="str">
        <f>_xlfn.IFS(Table310[[#This Row],[Risk Score]]&gt;=85,"Critical",Table310[[#This Row],[Risk Score]]&gt;=65,"High",Table310[[#This Row],[Risk Score]]&gt;=45,"Medium",TRUE,"Low")</f>
        <v>High</v>
      </c>
    </row>
    <row r="641" spans="1:12" x14ac:dyDescent="0.3">
      <c r="A641" t="s">
        <v>1027</v>
      </c>
      <c r="B641" t="s">
        <v>1372</v>
      </c>
      <c r="C641" t="s">
        <v>188</v>
      </c>
      <c r="D641" t="s">
        <v>218</v>
      </c>
      <c r="E641" t="s">
        <v>2147</v>
      </c>
      <c r="F641" t="s">
        <v>417</v>
      </c>
      <c r="G641" t="s">
        <v>2374</v>
      </c>
      <c r="H641" t="s">
        <v>2375</v>
      </c>
      <c r="I641" t="s">
        <v>2374</v>
      </c>
      <c r="J641" t="str">
        <f>IF(COUNTIF(Table5[Country],Table310[Country])&gt;0,"Y","N")</f>
        <v>N</v>
      </c>
      <c r="K641">
        <f>IF(Table310[[#This Row],[Adverse Media]]="Y",15,0)+IF(Table310[[#This Row],[PEP]]="Y",50,0)+IF(Table310[[#This Row],[Sanctions]]="Y",70,0)+IF(Table310[[#This Row],[High Risk Country]]="Y",25,0)</f>
        <v>50</v>
      </c>
      <c r="L641" t="str">
        <f>_xlfn.IFS(Table310[[#This Row],[Risk Score]]&gt;=85,"Critical",Table310[[#This Row],[Risk Score]]&gt;=65,"High",Table310[[#This Row],[Risk Score]]&gt;=45,"Medium",TRUE,"Low")</f>
        <v>Medium</v>
      </c>
    </row>
    <row r="642" spans="1:12" x14ac:dyDescent="0.3">
      <c r="A642" t="s">
        <v>1028</v>
      </c>
      <c r="B642" t="s">
        <v>1373</v>
      </c>
      <c r="C642" t="s">
        <v>188</v>
      </c>
      <c r="D642" t="s">
        <v>248</v>
      </c>
      <c r="E642" t="s">
        <v>2148</v>
      </c>
      <c r="F642" t="s">
        <v>2369</v>
      </c>
      <c r="G642" t="s">
        <v>2374</v>
      </c>
      <c r="H642" t="s">
        <v>2374</v>
      </c>
      <c r="I642" t="s">
        <v>2374</v>
      </c>
      <c r="J642" t="str">
        <f>IF(COUNTIF(Table5[Country],Table310[Country])&gt;0,"Y","N")</f>
        <v>N</v>
      </c>
      <c r="K642">
        <f>IF(Table310[[#This Row],[Adverse Media]]="Y",15,0)+IF(Table310[[#This Row],[PEP]]="Y",50,0)+IF(Table310[[#This Row],[Sanctions]]="Y",70,0)+IF(Table310[[#This Row],[High Risk Country]]="Y",25,0)</f>
        <v>0</v>
      </c>
      <c r="L642" t="str">
        <f>_xlfn.IFS(Table310[[#This Row],[Risk Score]]&gt;=85,"Critical",Table310[[#This Row],[Risk Score]]&gt;=65,"High",Table310[[#This Row],[Risk Score]]&gt;=45,"Medium",TRUE,"Low")</f>
        <v>Low</v>
      </c>
    </row>
    <row r="643" spans="1:12" x14ac:dyDescent="0.3">
      <c r="A643" t="s">
        <v>1029</v>
      </c>
      <c r="B643" t="s">
        <v>1374</v>
      </c>
      <c r="C643" t="s">
        <v>188</v>
      </c>
      <c r="D643" t="s">
        <v>228</v>
      </c>
      <c r="E643" t="s">
        <v>2149</v>
      </c>
      <c r="F643" t="s">
        <v>2370</v>
      </c>
      <c r="G643" t="s">
        <v>2374</v>
      </c>
      <c r="H643" t="s">
        <v>2375</v>
      </c>
      <c r="I643" t="s">
        <v>2374</v>
      </c>
      <c r="J643" t="str">
        <f>IF(COUNTIF(Table5[Country],Table310[Country])&gt;0,"Y","N")</f>
        <v>N</v>
      </c>
      <c r="K643">
        <f>IF(Table310[[#This Row],[Adverse Media]]="Y",15,0)+IF(Table310[[#This Row],[PEP]]="Y",50,0)+IF(Table310[[#This Row],[Sanctions]]="Y",70,0)+IF(Table310[[#This Row],[High Risk Country]]="Y",25,0)</f>
        <v>50</v>
      </c>
      <c r="L643" t="str">
        <f>_xlfn.IFS(Table310[[#This Row],[Risk Score]]&gt;=85,"Critical",Table310[[#This Row],[Risk Score]]&gt;=65,"High",Table310[[#This Row],[Risk Score]]&gt;=45,"Medium",TRUE,"Low")</f>
        <v>Medium</v>
      </c>
    </row>
    <row r="644" spans="1:12" x14ac:dyDescent="0.3">
      <c r="A644" t="s">
        <v>1030</v>
      </c>
      <c r="B644" t="s">
        <v>1375</v>
      </c>
      <c r="C644" t="s">
        <v>188</v>
      </c>
      <c r="D644" t="s">
        <v>195</v>
      </c>
      <c r="E644" t="s">
        <v>2150</v>
      </c>
      <c r="F644" t="s">
        <v>672</v>
      </c>
      <c r="G644" t="s">
        <v>2374</v>
      </c>
      <c r="H644" t="s">
        <v>2375</v>
      </c>
      <c r="I644" t="s">
        <v>2374</v>
      </c>
      <c r="J644" t="str">
        <f>IF(COUNTIF(Table5[Country],Table310[Country])&gt;0,"Y","N")</f>
        <v>N</v>
      </c>
      <c r="K644">
        <f>IF(Table310[[#This Row],[Adverse Media]]="Y",15,0)+IF(Table310[[#This Row],[PEP]]="Y",50,0)+IF(Table310[[#This Row],[Sanctions]]="Y",70,0)+IF(Table310[[#This Row],[High Risk Country]]="Y",25,0)</f>
        <v>50</v>
      </c>
      <c r="L644" t="str">
        <f>_xlfn.IFS(Table310[[#This Row],[Risk Score]]&gt;=85,"Critical",Table310[[#This Row],[Risk Score]]&gt;=65,"High",Table310[[#This Row],[Risk Score]]&gt;=45,"Medium",TRUE,"Low")</f>
        <v>Medium</v>
      </c>
    </row>
    <row r="645" spans="1:12" x14ac:dyDescent="0.3">
      <c r="A645" t="s">
        <v>1031</v>
      </c>
      <c r="B645" t="s">
        <v>1376</v>
      </c>
      <c r="C645" t="s">
        <v>188</v>
      </c>
      <c r="D645" t="s">
        <v>204</v>
      </c>
      <c r="E645" t="s">
        <v>2151</v>
      </c>
      <c r="F645" t="s">
        <v>2371</v>
      </c>
      <c r="G645" t="s">
        <v>2374</v>
      </c>
      <c r="H645" t="s">
        <v>2375</v>
      </c>
      <c r="I645" t="s">
        <v>2374</v>
      </c>
      <c r="J645" t="str">
        <f>IF(COUNTIF(Table5[Country],Table310[Country])&gt;0,"Y","N")</f>
        <v>Y</v>
      </c>
      <c r="K645">
        <f>IF(Table310[[#This Row],[Adverse Media]]="Y",15,0)+IF(Table310[[#This Row],[PEP]]="Y",50,0)+IF(Table310[[#This Row],[Sanctions]]="Y",70,0)+IF(Table310[[#This Row],[High Risk Country]]="Y",25,0)</f>
        <v>75</v>
      </c>
      <c r="L645" t="str">
        <f>_xlfn.IFS(Table310[[#This Row],[Risk Score]]&gt;=85,"Critical",Table310[[#This Row],[Risk Score]]&gt;=65,"High",Table310[[#This Row],[Risk Score]]&gt;=45,"Medium",TRUE,"Low")</f>
        <v>High</v>
      </c>
    </row>
    <row r="646" spans="1:12" x14ac:dyDescent="0.3">
      <c r="A646" t="s">
        <v>1032</v>
      </c>
      <c r="B646" t="s">
        <v>1377</v>
      </c>
      <c r="C646" t="s">
        <v>188</v>
      </c>
      <c r="D646" t="s">
        <v>238</v>
      </c>
      <c r="E646" t="s">
        <v>280</v>
      </c>
      <c r="F646" t="s">
        <v>2372</v>
      </c>
      <c r="G646" t="s">
        <v>2374</v>
      </c>
      <c r="H646" t="s">
        <v>2375</v>
      </c>
      <c r="I646" t="s">
        <v>2374</v>
      </c>
      <c r="J646" t="str">
        <f>IF(COUNTIF(Table5[Country],Table310[Country])&gt;0,"Y","N")</f>
        <v>N</v>
      </c>
      <c r="K646">
        <f>IF(Table310[[#This Row],[Adverse Media]]="Y",15,0)+IF(Table310[[#This Row],[PEP]]="Y",50,0)+IF(Table310[[#This Row],[Sanctions]]="Y",70,0)+IF(Table310[[#This Row],[High Risk Country]]="Y",25,0)</f>
        <v>50</v>
      </c>
      <c r="L646" t="str">
        <f>_xlfn.IFS(Table310[[#This Row],[Risk Score]]&gt;=85,"Critical",Table310[[#This Row],[Risk Score]]&gt;=65,"High",Table310[[#This Row],[Risk Score]]&gt;=45,"Medium",TRUE,"Low")</f>
        <v>Medium</v>
      </c>
    </row>
    <row r="647" spans="1:12" x14ac:dyDescent="0.3">
      <c r="A647" t="s">
        <v>1033</v>
      </c>
      <c r="B647" t="s">
        <v>1378</v>
      </c>
      <c r="C647" t="s">
        <v>188</v>
      </c>
      <c r="D647" t="s">
        <v>237</v>
      </c>
      <c r="E647" t="s">
        <v>338</v>
      </c>
      <c r="F647" t="s">
        <v>1906</v>
      </c>
      <c r="G647" t="s">
        <v>2374</v>
      </c>
      <c r="H647" t="s">
        <v>2374</v>
      </c>
      <c r="I647" t="s">
        <v>2374</v>
      </c>
      <c r="J647" t="str">
        <f>IF(COUNTIF(Table5[Country],Table310[Country])&gt;0,"Y","N")</f>
        <v>Y</v>
      </c>
      <c r="K647">
        <f>IF(Table310[[#This Row],[Adverse Media]]="Y",15,0)+IF(Table310[[#This Row],[PEP]]="Y",50,0)+IF(Table310[[#This Row],[Sanctions]]="Y",70,0)+IF(Table310[[#This Row],[High Risk Country]]="Y",25,0)</f>
        <v>25</v>
      </c>
      <c r="L647" t="str">
        <f>_xlfn.IFS(Table310[[#This Row],[Risk Score]]&gt;=85,"Critical",Table310[[#This Row],[Risk Score]]&gt;=65,"High",Table310[[#This Row],[Risk Score]]&gt;=45,"Medium",TRUE,"Low")</f>
        <v>Low</v>
      </c>
    </row>
    <row r="648" spans="1:12" x14ac:dyDescent="0.3">
      <c r="A648" t="s">
        <v>1034</v>
      </c>
      <c r="B648" t="s">
        <v>1379</v>
      </c>
      <c r="C648" t="s">
        <v>188</v>
      </c>
      <c r="D648" t="s">
        <v>233</v>
      </c>
      <c r="E648" t="s">
        <v>2152</v>
      </c>
      <c r="F648" t="s">
        <v>2373</v>
      </c>
      <c r="G648" t="s">
        <v>2374</v>
      </c>
      <c r="H648" t="s">
        <v>2374</v>
      </c>
      <c r="I648" t="s">
        <v>2374</v>
      </c>
      <c r="J648" t="str">
        <f>IF(COUNTIF(Table5[Country],Table310[Country])&gt;0,"Y","N")</f>
        <v>N</v>
      </c>
      <c r="K648">
        <f>IF(Table310[[#This Row],[Adverse Media]]="Y",15,0)+IF(Table310[[#This Row],[PEP]]="Y",50,0)+IF(Table310[[#This Row],[Sanctions]]="Y",70,0)+IF(Table310[[#This Row],[High Risk Country]]="Y",25,0)</f>
        <v>0</v>
      </c>
      <c r="L648" t="str">
        <f>_xlfn.IFS(Table310[[#This Row],[Risk Score]]&gt;=85,"Critical",Table310[[#This Row],[Risk Score]]&gt;=65,"High",Table310[[#This Row],[Risk Score]]&gt;=45,"Medium",TRUE,"Low")</f>
        <v>Low</v>
      </c>
    </row>
    <row r="649" spans="1:12" x14ac:dyDescent="0.3">
      <c r="A649" t="s">
        <v>1035</v>
      </c>
      <c r="B649" t="s">
        <v>1380</v>
      </c>
      <c r="C649" t="s">
        <v>188</v>
      </c>
      <c r="D649" t="s">
        <v>225</v>
      </c>
      <c r="E649" t="s">
        <v>476</v>
      </c>
      <c r="F649" t="s">
        <v>662</v>
      </c>
      <c r="G649" t="s">
        <v>2374</v>
      </c>
      <c r="H649" t="s">
        <v>2374</v>
      </c>
      <c r="I649" t="s">
        <v>2374</v>
      </c>
      <c r="J649" t="str">
        <f>IF(COUNTIF(Table5[Country],Table310[Country])&gt;0,"Y","N")</f>
        <v>N</v>
      </c>
      <c r="K649">
        <f>IF(Table310[[#This Row],[Adverse Media]]="Y",15,0)+IF(Table310[[#This Row],[PEP]]="Y",50,0)+IF(Table310[[#This Row],[Sanctions]]="Y",70,0)+IF(Table310[[#This Row],[High Risk Country]]="Y",25,0)</f>
        <v>0</v>
      </c>
      <c r="L649" t="str">
        <f>_xlfn.IFS(Table310[[#This Row],[Risk Score]]&gt;=85,"Critical",Table310[[#This Row],[Risk Score]]&gt;=65,"High",Table310[[#This Row],[Risk Score]]&gt;=45,"Medium",TRUE,"Low")</f>
        <v>Low</v>
      </c>
    </row>
    <row r="650" spans="1:12" x14ac:dyDescent="0.3">
      <c r="A650" t="s">
        <v>1036</v>
      </c>
      <c r="B650" t="s">
        <v>1381</v>
      </c>
      <c r="C650" t="s">
        <v>188</v>
      </c>
      <c r="D650" t="s">
        <v>221</v>
      </c>
      <c r="E650" t="s">
        <v>2153</v>
      </c>
      <c r="F650" t="s">
        <v>521</v>
      </c>
      <c r="G650" t="s">
        <v>2374</v>
      </c>
      <c r="H650" t="s">
        <v>2375</v>
      </c>
      <c r="I650" t="s">
        <v>2374</v>
      </c>
      <c r="J650" t="str">
        <f>IF(COUNTIF(Table5[Country],Table310[Country])&gt;0,"Y","N")</f>
        <v>N</v>
      </c>
      <c r="K650">
        <f>IF(Table310[[#This Row],[Adverse Media]]="Y",15,0)+IF(Table310[[#This Row],[PEP]]="Y",50,0)+IF(Table310[[#This Row],[Sanctions]]="Y",70,0)+IF(Table310[[#This Row],[High Risk Country]]="Y",25,0)</f>
        <v>50</v>
      </c>
      <c r="L650" t="str">
        <f>_xlfn.IFS(Table310[[#This Row],[Risk Score]]&gt;=85,"Critical",Table310[[#This Row],[Risk Score]]&gt;=65,"High",Table310[[#This Row],[Risk Score]]&gt;=45,"Medium",TRUE,"Low")</f>
        <v>Medium</v>
      </c>
    </row>
    <row r="651" spans="1:12" x14ac:dyDescent="0.3">
      <c r="A651" t="s">
        <v>1037</v>
      </c>
      <c r="B651" t="s">
        <v>1382</v>
      </c>
      <c r="C651" t="s">
        <v>188</v>
      </c>
      <c r="D651" t="s">
        <v>191</v>
      </c>
      <c r="E651" t="s">
        <v>1829</v>
      </c>
      <c r="F651" t="s">
        <v>1905</v>
      </c>
      <c r="G651" t="s">
        <v>2374</v>
      </c>
      <c r="H651" t="s">
        <v>2375</v>
      </c>
      <c r="I651" t="s">
        <v>2374</v>
      </c>
      <c r="J651" t="str">
        <f>IF(COUNTIF(Table5[Country],Table310[Country])&gt;0,"Y","N")</f>
        <v>N</v>
      </c>
      <c r="K651">
        <f>IF(Table310[[#This Row],[Adverse Media]]="Y",15,0)+IF(Table310[[#This Row],[PEP]]="Y",50,0)+IF(Table310[[#This Row],[Sanctions]]="Y",70,0)+IF(Table310[[#This Row],[High Risk Country]]="Y",25,0)</f>
        <v>50</v>
      </c>
      <c r="L651" t="str">
        <f>_xlfn.IFS(Table310[[#This Row],[Risk Score]]&gt;=85,"Critical",Table310[[#This Row],[Risk Score]]&gt;=65,"High",Table310[[#This Row],[Risk Score]]&gt;=45,"Medium",TRUE,"Low")</f>
        <v>Medium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workbookViewId="0">
      <selection activeCell="D289" sqref="D289"/>
    </sheetView>
  </sheetViews>
  <sheetFormatPr defaultRowHeight="14.4" x14ac:dyDescent="0.3"/>
  <cols>
    <col min="1" max="1" width="14.109375" customWidth="1"/>
    <col min="2" max="2" width="29.5546875" bestFit="1" customWidth="1"/>
    <col min="3" max="3" width="16.44140625" bestFit="1" customWidth="1"/>
    <col min="4" max="4" width="18.44140625" customWidth="1"/>
    <col min="5" max="5" width="12.44140625" customWidth="1"/>
    <col min="6" max="6" width="21" customWidth="1"/>
    <col min="7" max="7" width="12.77734375" customWidth="1"/>
    <col min="8" max="8" width="19.21875" customWidth="1"/>
    <col min="9" max="9" width="15.44140625" customWidth="1"/>
    <col min="10" max="10" width="6.109375" customWidth="1"/>
    <col min="11" max="11" width="11" customWidth="1"/>
  </cols>
  <sheetData>
    <row r="1" spans="1:11" x14ac:dyDescent="0.3">
      <c r="A1" t="s">
        <v>2376</v>
      </c>
      <c r="B1" t="s">
        <v>2377</v>
      </c>
      <c r="C1" t="s">
        <v>3</v>
      </c>
      <c r="D1" t="s">
        <v>2378</v>
      </c>
      <c r="E1" t="s">
        <v>2379</v>
      </c>
      <c r="F1" t="s">
        <v>2380</v>
      </c>
      <c r="G1" t="s">
        <v>6</v>
      </c>
      <c r="H1" t="s">
        <v>7</v>
      </c>
      <c r="I1" t="s">
        <v>685</v>
      </c>
      <c r="J1" t="s">
        <v>686</v>
      </c>
      <c r="K1" t="s">
        <v>687</v>
      </c>
    </row>
    <row r="2" spans="1:11" x14ac:dyDescent="0.3">
      <c r="A2" t="s">
        <v>2381</v>
      </c>
      <c r="B2" t="s">
        <v>2681</v>
      </c>
      <c r="C2" t="s">
        <v>190</v>
      </c>
      <c r="D2" t="s">
        <v>2981</v>
      </c>
      <c r="E2" t="s">
        <v>2985</v>
      </c>
      <c r="F2" t="s">
        <v>3284</v>
      </c>
      <c r="G2" t="s">
        <v>273</v>
      </c>
      <c r="H2" t="s">
        <v>3607</v>
      </c>
      <c r="I2" t="s">
        <v>2374</v>
      </c>
      <c r="J2" t="s">
        <v>2375</v>
      </c>
      <c r="K2" t="s">
        <v>2374</v>
      </c>
    </row>
    <row r="3" spans="1:11" x14ac:dyDescent="0.3">
      <c r="A3" t="s">
        <v>2382</v>
      </c>
      <c r="B3" t="s">
        <v>2682</v>
      </c>
      <c r="C3" t="s">
        <v>216</v>
      </c>
      <c r="D3" t="s">
        <v>2982</v>
      </c>
      <c r="E3" t="s">
        <v>2986</v>
      </c>
      <c r="F3" t="s">
        <v>3285</v>
      </c>
      <c r="G3" t="s">
        <v>3452</v>
      </c>
      <c r="H3" t="s">
        <v>319</v>
      </c>
      <c r="I3" t="s">
        <v>2374</v>
      </c>
      <c r="J3" t="s">
        <v>2374</v>
      </c>
      <c r="K3" t="s">
        <v>2374</v>
      </c>
    </row>
    <row r="4" spans="1:11" x14ac:dyDescent="0.3">
      <c r="A4" t="s">
        <v>2383</v>
      </c>
      <c r="B4" t="s">
        <v>2683</v>
      </c>
      <c r="C4" t="s">
        <v>201</v>
      </c>
      <c r="D4" t="s">
        <v>2982</v>
      </c>
      <c r="E4" t="s">
        <v>2987</v>
      </c>
      <c r="F4" t="s">
        <v>3286</v>
      </c>
      <c r="G4" t="s">
        <v>648</v>
      </c>
      <c r="H4" t="s">
        <v>3608</v>
      </c>
      <c r="I4" t="s">
        <v>2375</v>
      </c>
      <c r="J4" t="s">
        <v>2375</v>
      </c>
      <c r="K4" t="s">
        <v>2374</v>
      </c>
    </row>
    <row r="5" spans="1:11" x14ac:dyDescent="0.3">
      <c r="A5" t="s">
        <v>2384</v>
      </c>
      <c r="B5" t="s">
        <v>2684</v>
      </c>
      <c r="C5" t="s">
        <v>247</v>
      </c>
      <c r="D5" t="s">
        <v>2981</v>
      </c>
      <c r="E5" t="s">
        <v>2988</v>
      </c>
      <c r="F5" t="s">
        <v>337</v>
      </c>
      <c r="G5" t="s">
        <v>3453</v>
      </c>
      <c r="H5" t="s">
        <v>3298</v>
      </c>
      <c r="I5" t="s">
        <v>2374</v>
      </c>
      <c r="J5" t="s">
        <v>2374</v>
      </c>
      <c r="K5" t="s">
        <v>2374</v>
      </c>
    </row>
    <row r="6" spans="1:11" x14ac:dyDescent="0.3">
      <c r="A6" t="s">
        <v>2385</v>
      </c>
      <c r="B6" t="s">
        <v>2685</v>
      </c>
      <c r="C6" t="s">
        <v>209</v>
      </c>
      <c r="D6" t="s">
        <v>2981</v>
      </c>
      <c r="E6" t="s">
        <v>2989</v>
      </c>
      <c r="F6" t="s">
        <v>3287</v>
      </c>
      <c r="G6" t="s">
        <v>2189</v>
      </c>
      <c r="H6" t="s">
        <v>290</v>
      </c>
      <c r="I6" t="s">
        <v>2375</v>
      </c>
      <c r="J6" t="s">
        <v>2375</v>
      </c>
      <c r="K6" t="s">
        <v>2374</v>
      </c>
    </row>
    <row r="7" spans="1:11" x14ac:dyDescent="0.3">
      <c r="A7" t="s">
        <v>2386</v>
      </c>
      <c r="B7" t="s">
        <v>2686</v>
      </c>
      <c r="C7" t="s">
        <v>224</v>
      </c>
      <c r="D7" t="s">
        <v>2983</v>
      </c>
      <c r="E7" t="s">
        <v>2990</v>
      </c>
      <c r="F7" t="s">
        <v>3288</v>
      </c>
      <c r="G7" t="s">
        <v>3454</v>
      </c>
      <c r="H7" t="s">
        <v>379</v>
      </c>
      <c r="I7" t="s">
        <v>2375</v>
      </c>
      <c r="J7" t="s">
        <v>2375</v>
      </c>
      <c r="K7" t="s">
        <v>2374</v>
      </c>
    </row>
    <row r="8" spans="1:11" x14ac:dyDescent="0.3">
      <c r="A8" t="s">
        <v>2387</v>
      </c>
      <c r="B8" t="s">
        <v>2687</v>
      </c>
      <c r="C8" t="s">
        <v>212</v>
      </c>
      <c r="D8" t="s">
        <v>2983</v>
      </c>
      <c r="E8" t="s">
        <v>2991</v>
      </c>
      <c r="F8" t="s">
        <v>3289</v>
      </c>
      <c r="G8" t="s">
        <v>3455</v>
      </c>
      <c r="H8" t="s">
        <v>3609</v>
      </c>
      <c r="I8" t="s">
        <v>2374</v>
      </c>
      <c r="J8" t="s">
        <v>2375</v>
      </c>
      <c r="K8" t="s">
        <v>2374</v>
      </c>
    </row>
    <row r="9" spans="1:11" x14ac:dyDescent="0.3">
      <c r="A9" t="s">
        <v>2388</v>
      </c>
      <c r="B9" t="s">
        <v>2688</v>
      </c>
      <c r="C9" t="s">
        <v>223</v>
      </c>
      <c r="D9" t="s">
        <v>2981</v>
      </c>
      <c r="E9" t="s">
        <v>2992</v>
      </c>
      <c r="F9" t="s">
        <v>3290</v>
      </c>
      <c r="G9" t="s">
        <v>3456</v>
      </c>
      <c r="H9" t="s">
        <v>3610</v>
      </c>
      <c r="I9" t="s">
        <v>2374</v>
      </c>
      <c r="J9" t="s">
        <v>2374</v>
      </c>
      <c r="K9" t="s">
        <v>2374</v>
      </c>
    </row>
    <row r="10" spans="1:11" x14ac:dyDescent="0.3">
      <c r="A10" t="s">
        <v>2389</v>
      </c>
      <c r="B10" t="s">
        <v>2689</v>
      </c>
      <c r="C10" t="s">
        <v>228</v>
      </c>
      <c r="D10" t="s">
        <v>2984</v>
      </c>
      <c r="E10" t="s">
        <v>2993</v>
      </c>
      <c r="F10" t="s">
        <v>452</v>
      </c>
      <c r="G10" t="s">
        <v>2263</v>
      </c>
      <c r="H10" t="s">
        <v>2229</v>
      </c>
      <c r="I10" t="s">
        <v>2375</v>
      </c>
      <c r="J10" t="s">
        <v>2374</v>
      </c>
      <c r="K10" t="s">
        <v>2374</v>
      </c>
    </row>
    <row r="11" spans="1:11" x14ac:dyDescent="0.3">
      <c r="A11" t="s">
        <v>2390</v>
      </c>
      <c r="B11" t="s">
        <v>2690</v>
      </c>
      <c r="C11" t="s">
        <v>249</v>
      </c>
      <c r="D11" t="s">
        <v>2984</v>
      </c>
      <c r="E11" t="s">
        <v>2994</v>
      </c>
      <c r="F11" t="s">
        <v>3291</v>
      </c>
      <c r="G11" t="s">
        <v>321</v>
      </c>
      <c r="H11" t="s">
        <v>644</v>
      </c>
      <c r="I11" t="s">
        <v>2374</v>
      </c>
      <c r="J11" t="s">
        <v>2374</v>
      </c>
      <c r="K11" t="s">
        <v>2374</v>
      </c>
    </row>
    <row r="12" spans="1:11" x14ac:dyDescent="0.3">
      <c r="A12" t="s">
        <v>2391</v>
      </c>
      <c r="B12" t="s">
        <v>2691</v>
      </c>
      <c r="C12" t="s">
        <v>224</v>
      </c>
      <c r="D12" t="s">
        <v>2983</v>
      </c>
      <c r="E12" t="s">
        <v>2995</v>
      </c>
      <c r="F12" t="s">
        <v>3292</v>
      </c>
      <c r="G12" t="s">
        <v>3457</v>
      </c>
      <c r="H12" t="s">
        <v>3611</v>
      </c>
      <c r="I12" t="s">
        <v>2374</v>
      </c>
      <c r="J12" t="s">
        <v>2374</v>
      </c>
      <c r="K12" t="s">
        <v>2374</v>
      </c>
    </row>
    <row r="13" spans="1:11" x14ac:dyDescent="0.3">
      <c r="A13" t="s">
        <v>2392</v>
      </c>
      <c r="B13" t="s">
        <v>2692</v>
      </c>
      <c r="C13" t="s">
        <v>196</v>
      </c>
      <c r="D13" t="s">
        <v>2982</v>
      </c>
      <c r="E13" t="s">
        <v>2996</v>
      </c>
      <c r="F13" t="s">
        <v>2141</v>
      </c>
      <c r="G13" t="s">
        <v>550</v>
      </c>
      <c r="H13" t="s">
        <v>2228</v>
      </c>
      <c r="I13" t="s">
        <v>2374</v>
      </c>
      <c r="J13" t="s">
        <v>2374</v>
      </c>
      <c r="K13" t="s">
        <v>2374</v>
      </c>
    </row>
    <row r="14" spans="1:11" x14ac:dyDescent="0.3">
      <c r="A14" t="s">
        <v>2393</v>
      </c>
      <c r="B14" t="s">
        <v>2693</v>
      </c>
      <c r="C14" t="s">
        <v>205</v>
      </c>
      <c r="D14" t="s">
        <v>2982</v>
      </c>
      <c r="E14" t="s">
        <v>2997</v>
      </c>
      <c r="F14" t="s">
        <v>3293</v>
      </c>
      <c r="G14" t="s">
        <v>3458</v>
      </c>
      <c r="H14" t="s">
        <v>3612</v>
      </c>
      <c r="I14" t="s">
        <v>2374</v>
      </c>
      <c r="J14" t="s">
        <v>2374</v>
      </c>
      <c r="K14" t="s">
        <v>2374</v>
      </c>
    </row>
    <row r="15" spans="1:11" x14ac:dyDescent="0.3">
      <c r="A15" t="s">
        <v>2394</v>
      </c>
      <c r="B15" t="s">
        <v>2694</v>
      </c>
      <c r="C15" t="s">
        <v>240</v>
      </c>
      <c r="D15" t="s">
        <v>2981</v>
      </c>
      <c r="E15" t="s">
        <v>2998</v>
      </c>
      <c r="F15" t="s">
        <v>3294</v>
      </c>
      <c r="G15" t="s">
        <v>3459</v>
      </c>
      <c r="H15" t="s">
        <v>3613</v>
      </c>
      <c r="I15" t="s">
        <v>2374</v>
      </c>
      <c r="J15" t="s">
        <v>2374</v>
      </c>
      <c r="K15" t="s">
        <v>2374</v>
      </c>
    </row>
    <row r="16" spans="1:11" x14ac:dyDescent="0.3">
      <c r="A16" t="s">
        <v>2395</v>
      </c>
      <c r="B16" t="s">
        <v>2695</v>
      </c>
      <c r="C16" t="s">
        <v>245</v>
      </c>
      <c r="D16" t="s">
        <v>2983</v>
      </c>
      <c r="E16" t="s">
        <v>2999</v>
      </c>
      <c r="F16" t="s">
        <v>1874</v>
      </c>
      <c r="G16" t="s">
        <v>3460</v>
      </c>
      <c r="H16" t="s">
        <v>628</v>
      </c>
      <c r="I16" t="s">
        <v>2375</v>
      </c>
      <c r="J16" t="s">
        <v>2374</v>
      </c>
      <c r="K16" t="s">
        <v>2374</v>
      </c>
    </row>
    <row r="17" spans="1:11" x14ac:dyDescent="0.3">
      <c r="A17" t="s">
        <v>2396</v>
      </c>
      <c r="B17" t="s">
        <v>2696</v>
      </c>
      <c r="C17" t="s">
        <v>231</v>
      </c>
      <c r="D17" t="s">
        <v>2982</v>
      </c>
      <c r="E17" t="s">
        <v>3000</v>
      </c>
      <c r="F17" t="s">
        <v>3295</v>
      </c>
      <c r="G17" t="s">
        <v>518</v>
      </c>
      <c r="H17" t="s">
        <v>3491</v>
      </c>
      <c r="I17" t="s">
        <v>2374</v>
      </c>
      <c r="J17" t="s">
        <v>2374</v>
      </c>
      <c r="K17" t="s">
        <v>2374</v>
      </c>
    </row>
    <row r="18" spans="1:11" x14ac:dyDescent="0.3">
      <c r="A18" t="s">
        <v>2397</v>
      </c>
      <c r="B18" t="s">
        <v>2697</v>
      </c>
      <c r="C18" t="s">
        <v>228</v>
      </c>
      <c r="D18" t="s">
        <v>2983</v>
      </c>
      <c r="E18" t="s">
        <v>3001</v>
      </c>
      <c r="F18" t="s">
        <v>2148</v>
      </c>
      <c r="G18" t="s">
        <v>404</v>
      </c>
      <c r="H18" t="s">
        <v>3614</v>
      </c>
      <c r="I18" t="s">
        <v>2375</v>
      </c>
      <c r="J18" t="s">
        <v>2374</v>
      </c>
      <c r="K18" t="s">
        <v>2374</v>
      </c>
    </row>
    <row r="19" spans="1:11" x14ac:dyDescent="0.3">
      <c r="A19" t="s">
        <v>2398</v>
      </c>
      <c r="B19" t="s">
        <v>2698</v>
      </c>
      <c r="C19" t="s">
        <v>209</v>
      </c>
      <c r="D19" t="s">
        <v>2984</v>
      </c>
      <c r="E19" t="s">
        <v>3002</v>
      </c>
      <c r="F19" t="s">
        <v>1886</v>
      </c>
      <c r="G19" t="s">
        <v>2299</v>
      </c>
      <c r="H19" t="s">
        <v>3615</v>
      </c>
      <c r="I19" t="s">
        <v>2375</v>
      </c>
      <c r="J19" t="s">
        <v>2374</v>
      </c>
      <c r="K19" t="s">
        <v>2374</v>
      </c>
    </row>
    <row r="20" spans="1:11" x14ac:dyDescent="0.3">
      <c r="A20" t="s">
        <v>2399</v>
      </c>
      <c r="B20" t="s">
        <v>2699</v>
      </c>
      <c r="C20" t="s">
        <v>237</v>
      </c>
      <c r="D20" t="s">
        <v>2982</v>
      </c>
      <c r="E20" t="s">
        <v>3003</v>
      </c>
      <c r="F20" t="s">
        <v>3296</v>
      </c>
      <c r="G20" t="s">
        <v>3461</v>
      </c>
      <c r="H20" t="s">
        <v>3616</v>
      </c>
      <c r="I20" t="s">
        <v>2374</v>
      </c>
      <c r="J20" t="s">
        <v>2374</v>
      </c>
      <c r="K20" t="s">
        <v>2374</v>
      </c>
    </row>
    <row r="21" spans="1:11" x14ac:dyDescent="0.3">
      <c r="A21" t="s">
        <v>2400</v>
      </c>
      <c r="B21" t="s">
        <v>2700</v>
      </c>
      <c r="C21" t="s">
        <v>216</v>
      </c>
      <c r="D21" t="s">
        <v>2983</v>
      </c>
      <c r="E21" t="s">
        <v>3004</v>
      </c>
      <c r="F21" t="s">
        <v>641</v>
      </c>
      <c r="G21" t="s">
        <v>3462</v>
      </c>
      <c r="H21" t="s">
        <v>424</v>
      </c>
      <c r="I21" t="s">
        <v>2375</v>
      </c>
      <c r="J21" t="s">
        <v>2374</v>
      </c>
      <c r="K21" t="s">
        <v>2374</v>
      </c>
    </row>
    <row r="22" spans="1:11" x14ac:dyDescent="0.3">
      <c r="A22" t="s">
        <v>2401</v>
      </c>
      <c r="B22" t="s">
        <v>2701</v>
      </c>
      <c r="C22" t="s">
        <v>215</v>
      </c>
      <c r="D22" t="s">
        <v>2983</v>
      </c>
      <c r="E22" t="s">
        <v>3005</v>
      </c>
      <c r="F22" t="s">
        <v>3297</v>
      </c>
      <c r="G22" t="s">
        <v>3463</v>
      </c>
      <c r="H22" t="s">
        <v>3617</v>
      </c>
      <c r="I22" t="s">
        <v>2375</v>
      </c>
      <c r="J22" t="s">
        <v>2374</v>
      </c>
      <c r="K22" t="s">
        <v>2374</v>
      </c>
    </row>
    <row r="23" spans="1:11" x14ac:dyDescent="0.3">
      <c r="A23" t="s">
        <v>2402</v>
      </c>
      <c r="B23" t="s">
        <v>2702</v>
      </c>
      <c r="C23" t="s">
        <v>241</v>
      </c>
      <c r="D23" t="s">
        <v>2983</v>
      </c>
      <c r="E23" t="s">
        <v>3006</v>
      </c>
      <c r="F23" t="s">
        <v>3298</v>
      </c>
      <c r="G23" t="s">
        <v>3464</v>
      </c>
      <c r="H23" t="s">
        <v>449</v>
      </c>
      <c r="I23" t="s">
        <v>2374</v>
      </c>
      <c r="J23" t="s">
        <v>2374</v>
      </c>
      <c r="K23" t="s">
        <v>2374</v>
      </c>
    </row>
    <row r="24" spans="1:11" x14ac:dyDescent="0.3">
      <c r="A24" t="s">
        <v>2403</v>
      </c>
      <c r="B24" t="s">
        <v>2703</v>
      </c>
      <c r="C24" t="s">
        <v>206</v>
      </c>
      <c r="D24" t="s">
        <v>2983</v>
      </c>
      <c r="E24" t="s">
        <v>3007</v>
      </c>
      <c r="F24" t="s">
        <v>271</v>
      </c>
      <c r="G24" t="s">
        <v>1767</v>
      </c>
      <c r="H24" t="s">
        <v>3618</v>
      </c>
      <c r="I24" t="s">
        <v>2375</v>
      </c>
      <c r="J24" t="s">
        <v>2374</v>
      </c>
      <c r="K24" t="s">
        <v>2374</v>
      </c>
    </row>
    <row r="25" spans="1:11" x14ac:dyDescent="0.3">
      <c r="A25" t="s">
        <v>2404</v>
      </c>
      <c r="B25" t="s">
        <v>2704</v>
      </c>
      <c r="C25" t="s">
        <v>210</v>
      </c>
      <c r="D25" t="s">
        <v>2983</v>
      </c>
      <c r="E25" t="s">
        <v>3008</v>
      </c>
      <c r="F25" t="s">
        <v>293</v>
      </c>
      <c r="G25" t="s">
        <v>2076</v>
      </c>
      <c r="H25" t="s">
        <v>386</v>
      </c>
      <c r="I25" t="s">
        <v>2374</v>
      </c>
      <c r="J25" t="s">
        <v>2374</v>
      </c>
      <c r="K25" t="s">
        <v>2374</v>
      </c>
    </row>
    <row r="26" spans="1:11" x14ac:dyDescent="0.3">
      <c r="A26" t="s">
        <v>2405</v>
      </c>
      <c r="B26" t="s">
        <v>2705</v>
      </c>
      <c r="C26" t="s">
        <v>238</v>
      </c>
      <c r="D26" t="s">
        <v>2984</v>
      </c>
      <c r="E26" t="s">
        <v>3009</v>
      </c>
      <c r="F26" t="s">
        <v>3299</v>
      </c>
      <c r="G26" t="s">
        <v>3465</v>
      </c>
      <c r="H26" t="s">
        <v>457</v>
      </c>
      <c r="I26" t="s">
        <v>2375</v>
      </c>
      <c r="J26" t="s">
        <v>2374</v>
      </c>
      <c r="K26" t="s">
        <v>2374</v>
      </c>
    </row>
    <row r="27" spans="1:11" x14ac:dyDescent="0.3">
      <c r="A27" t="s">
        <v>2406</v>
      </c>
      <c r="B27" t="s">
        <v>2706</v>
      </c>
      <c r="C27" t="s">
        <v>233</v>
      </c>
      <c r="D27" t="s">
        <v>2982</v>
      </c>
      <c r="E27" t="s">
        <v>3010</v>
      </c>
      <c r="F27" t="s">
        <v>533</v>
      </c>
      <c r="G27" t="s">
        <v>3466</v>
      </c>
      <c r="H27" t="s">
        <v>413</v>
      </c>
      <c r="I27" t="s">
        <v>2374</v>
      </c>
      <c r="J27" t="s">
        <v>2374</v>
      </c>
      <c r="K27" t="s">
        <v>2374</v>
      </c>
    </row>
    <row r="28" spans="1:11" x14ac:dyDescent="0.3">
      <c r="A28" t="s">
        <v>2407</v>
      </c>
      <c r="B28" t="s">
        <v>2707</v>
      </c>
      <c r="C28" t="s">
        <v>233</v>
      </c>
      <c r="D28" t="s">
        <v>2981</v>
      </c>
      <c r="E28" t="s">
        <v>3011</v>
      </c>
      <c r="F28" t="s">
        <v>3300</v>
      </c>
      <c r="G28" t="s">
        <v>3467</v>
      </c>
      <c r="H28" t="s">
        <v>2148</v>
      </c>
      <c r="I28" t="s">
        <v>2374</v>
      </c>
      <c r="J28" t="s">
        <v>2374</v>
      </c>
      <c r="K28" t="s">
        <v>2374</v>
      </c>
    </row>
    <row r="29" spans="1:11" x14ac:dyDescent="0.3">
      <c r="A29" t="s">
        <v>2408</v>
      </c>
      <c r="B29" t="s">
        <v>2708</v>
      </c>
      <c r="C29" t="s">
        <v>234</v>
      </c>
      <c r="D29" t="s">
        <v>2984</v>
      </c>
      <c r="E29" t="s">
        <v>3012</v>
      </c>
      <c r="F29" t="s">
        <v>3301</v>
      </c>
      <c r="G29" t="s">
        <v>3468</v>
      </c>
      <c r="H29" t="s">
        <v>3619</v>
      </c>
      <c r="I29" t="s">
        <v>2374</v>
      </c>
      <c r="J29" t="s">
        <v>2374</v>
      </c>
      <c r="K29" t="s">
        <v>2374</v>
      </c>
    </row>
    <row r="30" spans="1:11" x14ac:dyDescent="0.3">
      <c r="A30" t="s">
        <v>2409</v>
      </c>
      <c r="B30" t="s">
        <v>2709</v>
      </c>
      <c r="C30" t="s">
        <v>240</v>
      </c>
      <c r="D30" t="s">
        <v>2981</v>
      </c>
      <c r="E30" t="s">
        <v>3013</v>
      </c>
      <c r="F30" t="s">
        <v>3297</v>
      </c>
      <c r="G30" t="s">
        <v>3469</v>
      </c>
      <c r="H30" t="s">
        <v>3620</v>
      </c>
      <c r="I30" t="s">
        <v>2374</v>
      </c>
      <c r="J30" t="s">
        <v>2374</v>
      </c>
      <c r="K30" t="s">
        <v>2374</v>
      </c>
    </row>
    <row r="31" spans="1:11" x14ac:dyDescent="0.3">
      <c r="A31" t="s">
        <v>2410</v>
      </c>
      <c r="B31" t="s">
        <v>2710</v>
      </c>
      <c r="C31" t="s">
        <v>240</v>
      </c>
      <c r="D31" t="s">
        <v>2983</v>
      </c>
      <c r="E31" t="s">
        <v>3014</v>
      </c>
      <c r="F31" t="s">
        <v>3302</v>
      </c>
      <c r="G31" t="s">
        <v>1830</v>
      </c>
      <c r="H31" t="s">
        <v>3621</v>
      </c>
      <c r="I31" t="s">
        <v>2374</v>
      </c>
      <c r="J31" t="s">
        <v>2374</v>
      </c>
      <c r="K31" t="s">
        <v>2374</v>
      </c>
    </row>
    <row r="32" spans="1:11" x14ac:dyDescent="0.3">
      <c r="A32" t="s">
        <v>2411</v>
      </c>
      <c r="B32" t="s">
        <v>2711</v>
      </c>
      <c r="C32" t="s">
        <v>194</v>
      </c>
      <c r="D32" t="s">
        <v>2984</v>
      </c>
      <c r="E32" t="s">
        <v>3015</v>
      </c>
      <c r="F32" t="s">
        <v>3303</v>
      </c>
      <c r="G32" t="s">
        <v>1944</v>
      </c>
      <c r="H32" t="s">
        <v>2288</v>
      </c>
      <c r="I32" t="s">
        <v>2375</v>
      </c>
      <c r="J32" t="s">
        <v>2374</v>
      </c>
      <c r="K32" t="s">
        <v>2374</v>
      </c>
    </row>
    <row r="33" spans="1:11" x14ac:dyDescent="0.3">
      <c r="A33" t="s">
        <v>2412</v>
      </c>
      <c r="B33" t="s">
        <v>2712</v>
      </c>
      <c r="C33" t="s">
        <v>197</v>
      </c>
      <c r="D33" t="s">
        <v>2982</v>
      </c>
      <c r="E33" t="s">
        <v>3016</v>
      </c>
      <c r="F33" t="s">
        <v>650</v>
      </c>
      <c r="G33" t="s">
        <v>308</v>
      </c>
      <c r="H33" t="s">
        <v>2306</v>
      </c>
      <c r="I33" t="s">
        <v>2375</v>
      </c>
      <c r="J33" t="s">
        <v>2374</v>
      </c>
      <c r="K33" t="s">
        <v>2374</v>
      </c>
    </row>
    <row r="34" spans="1:11" x14ac:dyDescent="0.3">
      <c r="A34" t="s">
        <v>2413</v>
      </c>
      <c r="B34" t="s">
        <v>2713</v>
      </c>
      <c r="C34" t="s">
        <v>231</v>
      </c>
      <c r="D34" t="s">
        <v>2984</v>
      </c>
      <c r="E34" t="s">
        <v>3017</v>
      </c>
      <c r="F34" t="s">
        <v>3304</v>
      </c>
      <c r="G34" t="s">
        <v>3470</v>
      </c>
      <c r="H34" t="s">
        <v>3622</v>
      </c>
      <c r="I34" t="s">
        <v>2374</v>
      </c>
      <c r="J34" t="s">
        <v>2374</v>
      </c>
      <c r="K34" t="s">
        <v>2374</v>
      </c>
    </row>
    <row r="35" spans="1:11" x14ac:dyDescent="0.3">
      <c r="A35" t="s">
        <v>2414</v>
      </c>
      <c r="B35" t="s">
        <v>2714</v>
      </c>
      <c r="C35" t="s">
        <v>241</v>
      </c>
      <c r="D35" t="s">
        <v>2984</v>
      </c>
      <c r="E35" t="s">
        <v>3018</v>
      </c>
      <c r="F35" t="s">
        <v>628</v>
      </c>
      <c r="G35" t="s">
        <v>3471</v>
      </c>
      <c r="H35" t="s">
        <v>3623</v>
      </c>
      <c r="I35" t="s">
        <v>2375</v>
      </c>
      <c r="J35" t="s">
        <v>2374</v>
      </c>
      <c r="K35" t="s">
        <v>2374</v>
      </c>
    </row>
    <row r="36" spans="1:11" x14ac:dyDescent="0.3">
      <c r="A36" t="s">
        <v>2415</v>
      </c>
      <c r="B36" t="s">
        <v>2715</v>
      </c>
      <c r="C36" t="s">
        <v>195</v>
      </c>
      <c r="D36" t="s">
        <v>2981</v>
      </c>
      <c r="E36" t="s">
        <v>3019</v>
      </c>
      <c r="F36" t="s">
        <v>344</v>
      </c>
      <c r="G36" t="s">
        <v>3472</v>
      </c>
      <c r="H36" t="s">
        <v>3624</v>
      </c>
      <c r="I36" t="s">
        <v>2375</v>
      </c>
      <c r="J36" t="s">
        <v>2374</v>
      </c>
      <c r="K36" t="s">
        <v>2374</v>
      </c>
    </row>
    <row r="37" spans="1:11" x14ac:dyDescent="0.3">
      <c r="A37" t="s">
        <v>2416</v>
      </c>
      <c r="B37" t="s">
        <v>2716</v>
      </c>
      <c r="C37" t="s">
        <v>204</v>
      </c>
      <c r="D37" t="s">
        <v>2982</v>
      </c>
      <c r="E37" t="s">
        <v>3020</v>
      </c>
      <c r="F37" t="s">
        <v>3305</v>
      </c>
      <c r="G37" t="s">
        <v>3424</v>
      </c>
      <c r="H37" t="s">
        <v>3625</v>
      </c>
      <c r="I37" t="s">
        <v>2375</v>
      </c>
      <c r="J37" t="s">
        <v>2374</v>
      </c>
      <c r="K37" t="s">
        <v>2374</v>
      </c>
    </row>
    <row r="38" spans="1:11" x14ac:dyDescent="0.3">
      <c r="A38" t="s">
        <v>2417</v>
      </c>
      <c r="B38" t="s">
        <v>2717</v>
      </c>
      <c r="C38" t="s">
        <v>192</v>
      </c>
      <c r="D38" t="s">
        <v>2981</v>
      </c>
      <c r="E38" t="s">
        <v>3021</v>
      </c>
      <c r="F38" t="s">
        <v>3306</v>
      </c>
      <c r="G38" t="s">
        <v>292</v>
      </c>
      <c r="H38" t="s">
        <v>3626</v>
      </c>
      <c r="I38" t="s">
        <v>2374</v>
      </c>
      <c r="J38" t="s">
        <v>2374</v>
      </c>
      <c r="K38" t="s">
        <v>2374</v>
      </c>
    </row>
    <row r="39" spans="1:11" x14ac:dyDescent="0.3">
      <c r="A39" t="s">
        <v>2418</v>
      </c>
      <c r="B39" t="s">
        <v>2718</v>
      </c>
      <c r="C39" t="s">
        <v>240</v>
      </c>
      <c r="D39" t="s">
        <v>2981</v>
      </c>
      <c r="E39" t="s">
        <v>3022</v>
      </c>
      <c r="F39" t="s">
        <v>3307</v>
      </c>
      <c r="G39" t="s">
        <v>3473</v>
      </c>
      <c r="H39" t="s">
        <v>3627</v>
      </c>
      <c r="I39" t="s">
        <v>2375</v>
      </c>
      <c r="J39" t="s">
        <v>2374</v>
      </c>
      <c r="K39" t="s">
        <v>2374</v>
      </c>
    </row>
    <row r="40" spans="1:11" x14ac:dyDescent="0.3">
      <c r="A40" t="s">
        <v>2419</v>
      </c>
      <c r="B40" t="s">
        <v>2719</v>
      </c>
      <c r="C40" t="s">
        <v>238</v>
      </c>
      <c r="D40" t="s">
        <v>2983</v>
      </c>
      <c r="E40" t="s">
        <v>3023</v>
      </c>
      <c r="F40" t="s">
        <v>1987</v>
      </c>
      <c r="G40" t="s">
        <v>3474</v>
      </c>
      <c r="H40" t="s">
        <v>3360</v>
      </c>
      <c r="I40" t="s">
        <v>2375</v>
      </c>
      <c r="J40" t="s">
        <v>2374</v>
      </c>
      <c r="K40" t="s">
        <v>2374</v>
      </c>
    </row>
    <row r="41" spans="1:11" x14ac:dyDescent="0.3">
      <c r="A41" t="s">
        <v>2420</v>
      </c>
      <c r="B41" t="s">
        <v>2720</v>
      </c>
      <c r="C41" t="s">
        <v>228</v>
      </c>
      <c r="D41" t="s">
        <v>2984</v>
      </c>
      <c r="E41" t="s">
        <v>3024</v>
      </c>
      <c r="F41" t="s">
        <v>3308</v>
      </c>
      <c r="G41" t="s">
        <v>3475</v>
      </c>
      <c r="H41" t="s">
        <v>263</v>
      </c>
      <c r="I41" t="s">
        <v>2375</v>
      </c>
      <c r="J41" t="s">
        <v>2374</v>
      </c>
      <c r="K41" t="s">
        <v>2374</v>
      </c>
    </row>
    <row r="42" spans="1:11" x14ac:dyDescent="0.3">
      <c r="A42" t="s">
        <v>2421</v>
      </c>
      <c r="B42" t="s">
        <v>2721</v>
      </c>
      <c r="C42" t="s">
        <v>225</v>
      </c>
      <c r="D42" t="s">
        <v>2984</v>
      </c>
      <c r="E42" t="s">
        <v>3025</v>
      </c>
      <c r="F42" t="s">
        <v>318</v>
      </c>
      <c r="G42" t="s">
        <v>3294</v>
      </c>
      <c r="H42" t="s">
        <v>532</v>
      </c>
      <c r="I42" t="s">
        <v>2375</v>
      </c>
      <c r="J42" t="s">
        <v>2374</v>
      </c>
      <c r="K42" t="s">
        <v>2374</v>
      </c>
    </row>
    <row r="43" spans="1:11" x14ac:dyDescent="0.3">
      <c r="A43" t="s">
        <v>2422</v>
      </c>
      <c r="B43" t="s">
        <v>2722</v>
      </c>
      <c r="C43" t="s">
        <v>235</v>
      </c>
      <c r="D43" t="s">
        <v>2982</v>
      </c>
      <c r="E43" t="s">
        <v>3026</v>
      </c>
      <c r="F43" t="s">
        <v>3309</v>
      </c>
      <c r="G43" t="s">
        <v>2287</v>
      </c>
      <c r="H43" t="s">
        <v>3628</v>
      </c>
      <c r="I43" t="s">
        <v>2375</v>
      </c>
      <c r="J43" t="s">
        <v>2374</v>
      </c>
      <c r="K43" t="s">
        <v>2374</v>
      </c>
    </row>
    <row r="44" spans="1:11" x14ac:dyDescent="0.3">
      <c r="A44" t="s">
        <v>2423</v>
      </c>
      <c r="B44" t="s">
        <v>2723</v>
      </c>
      <c r="C44" t="s">
        <v>225</v>
      </c>
      <c r="D44" t="s">
        <v>2981</v>
      </c>
      <c r="E44" t="s">
        <v>3027</v>
      </c>
      <c r="F44" t="s">
        <v>3310</v>
      </c>
      <c r="G44" t="s">
        <v>3476</v>
      </c>
      <c r="H44" t="s">
        <v>3629</v>
      </c>
      <c r="I44" t="s">
        <v>2375</v>
      </c>
      <c r="J44" t="s">
        <v>2374</v>
      </c>
      <c r="K44" t="s">
        <v>2374</v>
      </c>
    </row>
    <row r="45" spans="1:11" x14ac:dyDescent="0.3">
      <c r="A45" t="s">
        <v>2424</v>
      </c>
      <c r="B45" t="s">
        <v>2724</v>
      </c>
      <c r="C45" t="s">
        <v>214</v>
      </c>
      <c r="D45" t="s">
        <v>2983</v>
      </c>
      <c r="E45" t="s">
        <v>3028</v>
      </c>
      <c r="F45" t="s">
        <v>3311</v>
      </c>
      <c r="G45" t="s">
        <v>338</v>
      </c>
      <c r="H45" t="s">
        <v>622</v>
      </c>
      <c r="I45" t="s">
        <v>2374</v>
      </c>
      <c r="J45" t="s">
        <v>2374</v>
      </c>
      <c r="K45" t="s">
        <v>2374</v>
      </c>
    </row>
    <row r="46" spans="1:11" x14ac:dyDescent="0.3">
      <c r="A46" t="s">
        <v>2425</v>
      </c>
      <c r="B46" t="s">
        <v>2725</v>
      </c>
      <c r="C46" t="s">
        <v>198</v>
      </c>
      <c r="D46" t="s">
        <v>2984</v>
      </c>
      <c r="E46" t="s">
        <v>3029</v>
      </c>
      <c r="F46" t="s">
        <v>3312</v>
      </c>
      <c r="G46" t="s">
        <v>3477</v>
      </c>
      <c r="H46" t="s">
        <v>3630</v>
      </c>
      <c r="I46" t="s">
        <v>2374</v>
      </c>
      <c r="J46" t="s">
        <v>2374</v>
      </c>
      <c r="K46" t="s">
        <v>2374</v>
      </c>
    </row>
    <row r="47" spans="1:11" x14ac:dyDescent="0.3">
      <c r="A47" t="s">
        <v>2426</v>
      </c>
      <c r="B47" t="s">
        <v>2726</v>
      </c>
      <c r="C47" t="s">
        <v>206</v>
      </c>
      <c r="D47" t="s">
        <v>2982</v>
      </c>
      <c r="E47" t="s">
        <v>3030</v>
      </c>
      <c r="F47" t="s">
        <v>1986</v>
      </c>
      <c r="G47" t="s">
        <v>507</v>
      </c>
      <c r="H47" t="s">
        <v>346</v>
      </c>
      <c r="I47" t="s">
        <v>2375</v>
      </c>
      <c r="J47" t="s">
        <v>2374</v>
      </c>
      <c r="K47" t="s">
        <v>2374</v>
      </c>
    </row>
    <row r="48" spans="1:11" x14ac:dyDescent="0.3">
      <c r="A48" t="s">
        <v>2427</v>
      </c>
      <c r="B48" t="s">
        <v>2727</v>
      </c>
      <c r="C48" t="s">
        <v>202</v>
      </c>
      <c r="D48" t="s">
        <v>2982</v>
      </c>
      <c r="E48" t="s">
        <v>3031</v>
      </c>
      <c r="F48" t="s">
        <v>3313</v>
      </c>
      <c r="G48" t="s">
        <v>676</v>
      </c>
      <c r="H48" t="s">
        <v>3631</v>
      </c>
      <c r="I48" t="s">
        <v>2375</v>
      </c>
      <c r="J48" t="s">
        <v>2374</v>
      </c>
      <c r="K48" t="s">
        <v>2374</v>
      </c>
    </row>
    <row r="49" spans="1:11" x14ac:dyDescent="0.3">
      <c r="A49" t="s">
        <v>2428</v>
      </c>
      <c r="B49" t="s">
        <v>2728</v>
      </c>
      <c r="C49" t="s">
        <v>247</v>
      </c>
      <c r="D49" t="s">
        <v>2983</v>
      </c>
      <c r="E49" t="s">
        <v>3032</v>
      </c>
      <c r="F49" t="s">
        <v>2201</v>
      </c>
      <c r="G49" t="s">
        <v>3478</v>
      </c>
      <c r="H49" t="s">
        <v>647</v>
      </c>
      <c r="I49" t="s">
        <v>2374</v>
      </c>
      <c r="J49" t="s">
        <v>2374</v>
      </c>
      <c r="K49" t="s">
        <v>2374</v>
      </c>
    </row>
    <row r="50" spans="1:11" x14ac:dyDescent="0.3">
      <c r="A50" t="s">
        <v>2429</v>
      </c>
      <c r="B50" t="s">
        <v>2729</v>
      </c>
      <c r="C50" t="s">
        <v>227</v>
      </c>
      <c r="D50" t="s">
        <v>2981</v>
      </c>
      <c r="E50" t="s">
        <v>3033</v>
      </c>
      <c r="F50" t="s">
        <v>1788</v>
      </c>
      <c r="G50" t="s">
        <v>430</v>
      </c>
      <c r="H50" t="s">
        <v>577</v>
      </c>
      <c r="I50" t="s">
        <v>2375</v>
      </c>
      <c r="J50" t="s">
        <v>2375</v>
      </c>
      <c r="K50" t="s">
        <v>2374</v>
      </c>
    </row>
    <row r="51" spans="1:11" x14ac:dyDescent="0.3">
      <c r="A51" t="s">
        <v>2430</v>
      </c>
      <c r="B51" t="s">
        <v>2730</v>
      </c>
      <c r="C51" t="s">
        <v>233</v>
      </c>
      <c r="D51" t="s">
        <v>2982</v>
      </c>
      <c r="E51" t="s">
        <v>3034</v>
      </c>
      <c r="F51" t="s">
        <v>389</v>
      </c>
      <c r="G51" t="s">
        <v>382</v>
      </c>
      <c r="H51" t="s">
        <v>3632</v>
      </c>
      <c r="I51" t="s">
        <v>2374</v>
      </c>
      <c r="J51" t="s">
        <v>2375</v>
      </c>
      <c r="K51" t="s">
        <v>2374</v>
      </c>
    </row>
    <row r="52" spans="1:11" x14ac:dyDescent="0.3">
      <c r="A52" t="s">
        <v>2431</v>
      </c>
      <c r="B52" t="s">
        <v>2731</v>
      </c>
      <c r="C52" t="s">
        <v>240</v>
      </c>
      <c r="D52" t="s">
        <v>2981</v>
      </c>
      <c r="E52" t="s">
        <v>3035</v>
      </c>
      <c r="F52" t="s">
        <v>335</v>
      </c>
      <c r="G52" t="s">
        <v>2015</v>
      </c>
      <c r="H52" t="s">
        <v>3633</v>
      </c>
      <c r="I52" t="s">
        <v>2375</v>
      </c>
      <c r="J52" t="s">
        <v>2374</v>
      </c>
      <c r="K52" t="s">
        <v>2374</v>
      </c>
    </row>
    <row r="53" spans="1:11" x14ac:dyDescent="0.3">
      <c r="A53" t="s">
        <v>2432</v>
      </c>
      <c r="B53" t="s">
        <v>2732</v>
      </c>
      <c r="C53" t="s">
        <v>192</v>
      </c>
      <c r="D53" t="s">
        <v>2981</v>
      </c>
      <c r="E53" t="s">
        <v>3036</v>
      </c>
      <c r="F53" t="s">
        <v>3314</v>
      </c>
      <c r="G53" t="s">
        <v>546</v>
      </c>
      <c r="H53" t="s">
        <v>1948</v>
      </c>
      <c r="I53" t="s">
        <v>2374</v>
      </c>
      <c r="J53" t="s">
        <v>2374</v>
      </c>
      <c r="K53" t="s">
        <v>2374</v>
      </c>
    </row>
    <row r="54" spans="1:11" x14ac:dyDescent="0.3">
      <c r="A54" t="s">
        <v>2433</v>
      </c>
      <c r="B54" t="s">
        <v>2733</v>
      </c>
      <c r="C54" t="s">
        <v>206</v>
      </c>
      <c r="D54" t="s">
        <v>2982</v>
      </c>
      <c r="E54" t="s">
        <v>3037</v>
      </c>
      <c r="F54" t="s">
        <v>3315</v>
      </c>
      <c r="G54" t="s">
        <v>3479</v>
      </c>
      <c r="H54" t="s">
        <v>657</v>
      </c>
      <c r="I54" t="s">
        <v>2374</v>
      </c>
      <c r="J54" t="s">
        <v>2375</v>
      </c>
      <c r="K54" t="s">
        <v>2374</v>
      </c>
    </row>
    <row r="55" spans="1:11" x14ac:dyDescent="0.3">
      <c r="A55" t="s">
        <v>2434</v>
      </c>
      <c r="B55" t="s">
        <v>2734</v>
      </c>
      <c r="C55" t="s">
        <v>191</v>
      </c>
      <c r="D55" t="s">
        <v>2984</v>
      </c>
      <c r="E55" t="s">
        <v>3038</v>
      </c>
      <c r="F55" t="s">
        <v>258</v>
      </c>
      <c r="G55" t="s">
        <v>3480</v>
      </c>
      <c r="H55" t="s">
        <v>1865</v>
      </c>
      <c r="I55" t="s">
        <v>2374</v>
      </c>
      <c r="J55" t="s">
        <v>2374</v>
      </c>
      <c r="K55" t="s">
        <v>2374</v>
      </c>
    </row>
    <row r="56" spans="1:11" x14ac:dyDescent="0.3">
      <c r="A56" t="s">
        <v>2435</v>
      </c>
      <c r="B56" t="s">
        <v>2735</v>
      </c>
      <c r="C56" t="s">
        <v>191</v>
      </c>
      <c r="D56" t="s">
        <v>2984</v>
      </c>
      <c r="E56" t="s">
        <v>3039</v>
      </c>
      <c r="F56" t="s">
        <v>3316</v>
      </c>
      <c r="G56" t="s">
        <v>3481</v>
      </c>
      <c r="H56" t="s">
        <v>3634</v>
      </c>
      <c r="I56" t="s">
        <v>2375</v>
      </c>
      <c r="J56" t="s">
        <v>2375</v>
      </c>
      <c r="K56" t="s">
        <v>2374</v>
      </c>
    </row>
    <row r="57" spans="1:11" x14ac:dyDescent="0.3">
      <c r="A57" t="s">
        <v>2436</v>
      </c>
      <c r="B57" t="s">
        <v>2736</v>
      </c>
      <c r="C57" t="s">
        <v>200</v>
      </c>
      <c r="D57" t="s">
        <v>2981</v>
      </c>
      <c r="E57" t="s">
        <v>3040</v>
      </c>
      <c r="F57" t="s">
        <v>3317</v>
      </c>
      <c r="G57" t="s">
        <v>3482</v>
      </c>
      <c r="H57" t="s">
        <v>2345</v>
      </c>
      <c r="I57" t="s">
        <v>2374</v>
      </c>
      <c r="J57" t="s">
        <v>2374</v>
      </c>
      <c r="K57" t="s">
        <v>2374</v>
      </c>
    </row>
    <row r="58" spans="1:11" x14ac:dyDescent="0.3">
      <c r="A58" t="s">
        <v>2437</v>
      </c>
      <c r="B58" t="s">
        <v>2737</v>
      </c>
      <c r="C58" t="s">
        <v>200</v>
      </c>
      <c r="D58" t="s">
        <v>2984</v>
      </c>
      <c r="E58" t="s">
        <v>3041</v>
      </c>
      <c r="F58" t="s">
        <v>3318</v>
      </c>
      <c r="G58" t="s">
        <v>524</v>
      </c>
      <c r="H58" t="s">
        <v>3635</v>
      </c>
      <c r="I58" t="s">
        <v>2375</v>
      </c>
      <c r="J58" t="s">
        <v>2375</v>
      </c>
      <c r="K58" t="s">
        <v>2374</v>
      </c>
    </row>
    <row r="59" spans="1:11" x14ac:dyDescent="0.3">
      <c r="A59" t="s">
        <v>2438</v>
      </c>
      <c r="B59" t="s">
        <v>2738</v>
      </c>
      <c r="C59" t="s">
        <v>243</v>
      </c>
      <c r="D59" t="s">
        <v>2984</v>
      </c>
      <c r="E59" t="s">
        <v>3042</v>
      </c>
      <c r="F59" t="s">
        <v>2311</v>
      </c>
      <c r="G59" t="s">
        <v>3483</v>
      </c>
      <c r="H59" t="s">
        <v>2042</v>
      </c>
      <c r="I59" t="s">
        <v>2374</v>
      </c>
      <c r="J59" t="s">
        <v>2374</v>
      </c>
      <c r="K59" t="s">
        <v>2374</v>
      </c>
    </row>
    <row r="60" spans="1:11" x14ac:dyDescent="0.3">
      <c r="A60" t="s">
        <v>2439</v>
      </c>
      <c r="B60" t="s">
        <v>2739</v>
      </c>
      <c r="C60" t="s">
        <v>219</v>
      </c>
      <c r="D60" t="s">
        <v>2981</v>
      </c>
      <c r="E60" t="s">
        <v>3043</v>
      </c>
      <c r="F60" t="s">
        <v>336</v>
      </c>
      <c r="G60" t="s">
        <v>645</v>
      </c>
      <c r="H60" t="s">
        <v>343</v>
      </c>
      <c r="I60" t="s">
        <v>2374</v>
      </c>
      <c r="J60" t="s">
        <v>2375</v>
      </c>
      <c r="K60" t="s">
        <v>2374</v>
      </c>
    </row>
    <row r="61" spans="1:11" x14ac:dyDescent="0.3">
      <c r="A61" t="s">
        <v>2440</v>
      </c>
      <c r="B61" t="s">
        <v>2740</v>
      </c>
      <c r="C61" t="s">
        <v>220</v>
      </c>
      <c r="D61" t="s">
        <v>2984</v>
      </c>
      <c r="E61" t="s">
        <v>3044</v>
      </c>
      <c r="F61" t="s">
        <v>3319</v>
      </c>
      <c r="G61" t="s">
        <v>3484</v>
      </c>
      <c r="H61" t="s">
        <v>3636</v>
      </c>
      <c r="I61" t="s">
        <v>2375</v>
      </c>
      <c r="J61" t="s">
        <v>2375</v>
      </c>
      <c r="K61" t="s">
        <v>2374</v>
      </c>
    </row>
    <row r="62" spans="1:11" x14ac:dyDescent="0.3">
      <c r="A62" t="s">
        <v>2441</v>
      </c>
      <c r="B62" t="s">
        <v>2741</v>
      </c>
      <c r="C62" t="s">
        <v>230</v>
      </c>
      <c r="D62" t="s">
        <v>2983</v>
      </c>
      <c r="E62" t="s">
        <v>3045</v>
      </c>
      <c r="F62" t="s">
        <v>3320</v>
      </c>
      <c r="G62" t="s">
        <v>2284</v>
      </c>
      <c r="H62" t="s">
        <v>3637</v>
      </c>
      <c r="I62" t="s">
        <v>2375</v>
      </c>
      <c r="J62" t="s">
        <v>2375</v>
      </c>
      <c r="K62" t="s">
        <v>2374</v>
      </c>
    </row>
    <row r="63" spans="1:11" x14ac:dyDescent="0.3">
      <c r="A63" t="s">
        <v>2442</v>
      </c>
      <c r="B63" t="s">
        <v>2742</v>
      </c>
      <c r="C63" t="s">
        <v>237</v>
      </c>
      <c r="D63" t="s">
        <v>2982</v>
      </c>
      <c r="E63" t="s">
        <v>3046</v>
      </c>
      <c r="F63" t="s">
        <v>3321</v>
      </c>
      <c r="G63" t="s">
        <v>3485</v>
      </c>
      <c r="H63" t="s">
        <v>264</v>
      </c>
      <c r="I63" t="s">
        <v>2375</v>
      </c>
      <c r="J63" t="s">
        <v>2374</v>
      </c>
      <c r="K63" t="s">
        <v>2375</v>
      </c>
    </row>
    <row r="64" spans="1:11" x14ac:dyDescent="0.3">
      <c r="A64" t="s">
        <v>2443</v>
      </c>
      <c r="B64" t="s">
        <v>2743</v>
      </c>
      <c r="C64" t="s">
        <v>198</v>
      </c>
      <c r="D64" t="s">
        <v>2983</v>
      </c>
      <c r="E64" t="s">
        <v>3047</v>
      </c>
      <c r="F64" t="s">
        <v>1879</v>
      </c>
      <c r="G64" t="s">
        <v>3486</v>
      </c>
      <c r="H64" t="s">
        <v>3638</v>
      </c>
      <c r="I64" t="s">
        <v>2375</v>
      </c>
      <c r="J64" t="s">
        <v>2375</v>
      </c>
      <c r="K64" t="s">
        <v>2374</v>
      </c>
    </row>
    <row r="65" spans="1:11" x14ac:dyDescent="0.3">
      <c r="A65" t="s">
        <v>2444</v>
      </c>
      <c r="B65" t="s">
        <v>2744</v>
      </c>
      <c r="C65" t="s">
        <v>215</v>
      </c>
      <c r="D65" t="s">
        <v>2981</v>
      </c>
      <c r="E65" t="s">
        <v>3048</v>
      </c>
      <c r="F65" t="s">
        <v>3322</v>
      </c>
      <c r="G65" t="s">
        <v>410</v>
      </c>
      <c r="H65" t="s">
        <v>3639</v>
      </c>
      <c r="I65" t="s">
        <v>2375</v>
      </c>
      <c r="J65" t="s">
        <v>2375</v>
      </c>
      <c r="K65" t="s">
        <v>2374</v>
      </c>
    </row>
    <row r="66" spans="1:11" x14ac:dyDescent="0.3">
      <c r="A66" t="s">
        <v>2445</v>
      </c>
      <c r="B66" t="s">
        <v>2745</v>
      </c>
      <c r="C66" t="s">
        <v>246</v>
      </c>
      <c r="D66" t="s">
        <v>2983</v>
      </c>
      <c r="E66" t="s">
        <v>3049</v>
      </c>
      <c r="F66" t="s">
        <v>3323</v>
      </c>
      <c r="G66" t="s">
        <v>3452</v>
      </c>
      <c r="H66" t="s">
        <v>3640</v>
      </c>
      <c r="I66" t="s">
        <v>2375</v>
      </c>
      <c r="J66" t="s">
        <v>2374</v>
      </c>
      <c r="K66" t="s">
        <v>2375</v>
      </c>
    </row>
    <row r="67" spans="1:11" x14ac:dyDescent="0.3">
      <c r="A67" t="s">
        <v>2446</v>
      </c>
      <c r="B67" t="s">
        <v>2746</v>
      </c>
      <c r="C67" t="s">
        <v>201</v>
      </c>
      <c r="D67" t="s">
        <v>2981</v>
      </c>
      <c r="E67" t="s">
        <v>3050</v>
      </c>
      <c r="F67" t="s">
        <v>3324</v>
      </c>
      <c r="G67" t="s">
        <v>551</v>
      </c>
      <c r="H67" t="s">
        <v>3584</v>
      </c>
      <c r="I67" t="s">
        <v>2374</v>
      </c>
      <c r="J67" t="s">
        <v>2374</v>
      </c>
      <c r="K67" t="s">
        <v>2374</v>
      </c>
    </row>
    <row r="68" spans="1:11" x14ac:dyDescent="0.3">
      <c r="A68" t="s">
        <v>2447</v>
      </c>
      <c r="B68" t="s">
        <v>2747</v>
      </c>
      <c r="C68" t="s">
        <v>241</v>
      </c>
      <c r="D68" t="s">
        <v>2983</v>
      </c>
      <c r="E68" t="s">
        <v>3051</v>
      </c>
      <c r="F68" t="s">
        <v>575</v>
      </c>
      <c r="G68" t="s">
        <v>3487</v>
      </c>
      <c r="H68" t="s">
        <v>3641</v>
      </c>
      <c r="I68" t="s">
        <v>2375</v>
      </c>
      <c r="J68" t="s">
        <v>2375</v>
      </c>
      <c r="K68" t="s">
        <v>2375</v>
      </c>
    </row>
    <row r="69" spans="1:11" x14ac:dyDescent="0.3">
      <c r="A69" t="s">
        <v>2448</v>
      </c>
      <c r="B69" t="s">
        <v>2748</v>
      </c>
      <c r="C69" t="s">
        <v>191</v>
      </c>
      <c r="D69" t="s">
        <v>2982</v>
      </c>
      <c r="E69" t="s">
        <v>3052</v>
      </c>
      <c r="F69" t="s">
        <v>3325</v>
      </c>
      <c r="G69" t="s">
        <v>370</v>
      </c>
      <c r="H69" t="s">
        <v>2190</v>
      </c>
      <c r="I69" t="s">
        <v>2374</v>
      </c>
      <c r="J69" t="s">
        <v>2375</v>
      </c>
      <c r="K69" t="s">
        <v>2374</v>
      </c>
    </row>
    <row r="70" spans="1:11" x14ac:dyDescent="0.3">
      <c r="A70" t="s">
        <v>2449</v>
      </c>
      <c r="B70" t="s">
        <v>2749</v>
      </c>
      <c r="C70" t="s">
        <v>213</v>
      </c>
      <c r="D70" t="s">
        <v>2981</v>
      </c>
      <c r="E70" t="s">
        <v>3053</v>
      </c>
      <c r="F70" t="s">
        <v>1820</v>
      </c>
      <c r="G70" t="s">
        <v>3488</v>
      </c>
      <c r="H70" t="s">
        <v>3642</v>
      </c>
      <c r="I70" t="s">
        <v>2374</v>
      </c>
      <c r="J70" t="s">
        <v>2374</v>
      </c>
      <c r="K70" t="s">
        <v>2374</v>
      </c>
    </row>
    <row r="71" spans="1:11" x14ac:dyDescent="0.3">
      <c r="A71" t="s">
        <v>2450</v>
      </c>
      <c r="B71" t="s">
        <v>2750</v>
      </c>
      <c r="C71" t="s">
        <v>218</v>
      </c>
      <c r="D71" t="s">
        <v>2981</v>
      </c>
      <c r="E71" t="s">
        <v>3054</v>
      </c>
      <c r="F71" t="s">
        <v>530</v>
      </c>
      <c r="G71" t="s">
        <v>501</v>
      </c>
      <c r="H71" t="s">
        <v>339</v>
      </c>
      <c r="I71" t="s">
        <v>2375</v>
      </c>
      <c r="J71" t="s">
        <v>2374</v>
      </c>
      <c r="K71" t="s">
        <v>2374</v>
      </c>
    </row>
    <row r="72" spans="1:11" x14ac:dyDescent="0.3">
      <c r="A72" t="s">
        <v>2451</v>
      </c>
      <c r="B72" t="s">
        <v>2751</v>
      </c>
      <c r="C72" t="s">
        <v>193</v>
      </c>
      <c r="D72" t="s">
        <v>2984</v>
      </c>
      <c r="E72" t="s">
        <v>3055</v>
      </c>
      <c r="F72" t="s">
        <v>591</v>
      </c>
      <c r="G72" t="s">
        <v>514</v>
      </c>
      <c r="H72" t="s">
        <v>3643</v>
      </c>
      <c r="I72" t="s">
        <v>2374</v>
      </c>
      <c r="J72" t="s">
        <v>2375</v>
      </c>
      <c r="K72" t="s">
        <v>2375</v>
      </c>
    </row>
    <row r="73" spans="1:11" x14ac:dyDescent="0.3">
      <c r="A73" t="s">
        <v>2452</v>
      </c>
      <c r="B73" t="s">
        <v>2752</v>
      </c>
      <c r="C73" t="s">
        <v>202</v>
      </c>
      <c r="D73" t="s">
        <v>2981</v>
      </c>
      <c r="E73" t="s">
        <v>3056</v>
      </c>
      <c r="F73" t="s">
        <v>3289</v>
      </c>
      <c r="G73" t="s">
        <v>393</v>
      </c>
      <c r="H73" t="s">
        <v>3644</v>
      </c>
      <c r="I73" t="s">
        <v>2374</v>
      </c>
      <c r="J73" t="s">
        <v>2375</v>
      </c>
      <c r="K73" t="s">
        <v>2374</v>
      </c>
    </row>
    <row r="74" spans="1:11" x14ac:dyDescent="0.3">
      <c r="A74" t="s">
        <v>2453</v>
      </c>
      <c r="B74" t="s">
        <v>2753</v>
      </c>
      <c r="C74" t="s">
        <v>219</v>
      </c>
      <c r="D74" t="s">
        <v>2984</v>
      </c>
      <c r="E74" t="s">
        <v>3057</v>
      </c>
      <c r="F74" t="s">
        <v>385</v>
      </c>
      <c r="G74" t="s">
        <v>430</v>
      </c>
      <c r="H74" t="s">
        <v>3645</v>
      </c>
      <c r="I74" t="s">
        <v>2374</v>
      </c>
      <c r="J74" t="s">
        <v>2375</v>
      </c>
      <c r="K74" t="s">
        <v>2374</v>
      </c>
    </row>
    <row r="75" spans="1:11" x14ac:dyDescent="0.3">
      <c r="A75" t="s">
        <v>2454</v>
      </c>
      <c r="B75" t="s">
        <v>2754</v>
      </c>
      <c r="C75" t="s">
        <v>207</v>
      </c>
      <c r="D75" t="s">
        <v>2984</v>
      </c>
      <c r="E75" t="s">
        <v>3058</v>
      </c>
      <c r="F75" t="s">
        <v>3326</v>
      </c>
      <c r="G75" t="s">
        <v>637</v>
      </c>
      <c r="H75" t="s">
        <v>3350</v>
      </c>
      <c r="I75" t="s">
        <v>2374</v>
      </c>
      <c r="J75" t="s">
        <v>2375</v>
      </c>
      <c r="K75" t="s">
        <v>2375</v>
      </c>
    </row>
    <row r="76" spans="1:11" x14ac:dyDescent="0.3">
      <c r="A76" t="s">
        <v>2455</v>
      </c>
      <c r="B76" t="s">
        <v>2755</v>
      </c>
      <c r="C76" t="s">
        <v>228</v>
      </c>
      <c r="D76" t="s">
        <v>2981</v>
      </c>
      <c r="E76" t="s">
        <v>3059</v>
      </c>
      <c r="F76" t="s">
        <v>3318</v>
      </c>
      <c r="G76" t="s">
        <v>554</v>
      </c>
      <c r="H76" t="s">
        <v>2348</v>
      </c>
      <c r="I76" t="s">
        <v>2374</v>
      </c>
      <c r="J76" t="s">
        <v>2375</v>
      </c>
      <c r="K76" t="s">
        <v>2375</v>
      </c>
    </row>
    <row r="77" spans="1:11" x14ac:dyDescent="0.3">
      <c r="A77" t="s">
        <v>2456</v>
      </c>
      <c r="B77" t="s">
        <v>2756</v>
      </c>
      <c r="C77" t="s">
        <v>201</v>
      </c>
      <c r="D77" t="s">
        <v>2981</v>
      </c>
      <c r="E77" t="s">
        <v>3060</v>
      </c>
      <c r="F77" t="s">
        <v>3327</v>
      </c>
      <c r="G77" t="s">
        <v>1986</v>
      </c>
      <c r="H77" t="s">
        <v>3646</v>
      </c>
      <c r="I77" t="s">
        <v>2374</v>
      </c>
      <c r="J77" t="s">
        <v>2375</v>
      </c>
      <c r="K77" t="s">
        <v>2374</v>
      </c>
    </row>
    <row r="78" spans="1:11" x14ac:dyDescent="0.3">
      <c r="A78" t="s">
        <v>2457</v>
      </c>
      <c r="B78" t="s">
        <v>2757</v>
      </c>
      <c r="C78" t="s">
        <v>211</v>
      </c>
      <c r="D78" t="s">
        <v>2982</v>
      </c>
      <c r="E78" t="s">
        <v>3061</v>
      </c>
      <c r="F78" t="s">
        <v>1769</v>
      </c>
      <c r="G78" t="s">
        <v>1795</v>
      </c>
      <c r="H78" t="s">
        <v>3512</v>
      </c>
      <c r="I78" t="s">
        <v>2374</v>
      </c>
      <c r="J78" t="s">
        <v>2375</v>
      </c>
      <c r="K78" t="s">
        <v>2374</v>
      </c>
    </row>
    <row r="79" spans="1:11" x14ac:dyDescent="0.3">
      <c r="A79" t="s">
        <v>2458</v>
      </c>
      <c r="B79" t="s">
        <v>2758</v>
      </c>
      <c r="C79" t="s">
        <v>244</v>
      </c>
      <c r="D79" t="s">
        <v>2981</v>
      </c>
      <c r="E79" t="s">
        <v>3062</v>
      </c>
      <c r="F79" t="s">
        <v>1833</v>
      </c>
      <c r="G79" t="s">
        <v>3489</v>
      </c>
      <c r="H79" t="s">
        <v>467</v>
      </c>
      <c r="I79" t="s">
        <v>2374</v>
      </c>
      <c r="J79" t="s">
        <v>2375</v>
      </c>
      <c r="K79" t="s">
        <v>2374</v>
      </c>
    </row>
    <row r="80" spans="1:11" x14ac:dyDescent="0.3">
      <c r="A80" t="s">
        <v>2459</v>
      </c>
      <c r="B80" t="s">
        <v>2759</v>
      </c>
      <c r="C80" t="s">
        <v>245</v>
      </c>
      <c r="D80" t="s">
        <v>2984</v>
      </c>
      <c r="E80" t="s">
        <v>3063</v>
      </c>
      <c r="F80" t="s">
        <v>3328</v>
      </c>
      <c r="G80" t="s">
        <v>3490</v>
      </c>
      <c r="H80" t="s">
        <v>3647</v>
      </c>
      <c r="I80" t="s">
        <v>2374</v>
      </c>
      <c r="J80" t="s">
        <v>2375</v>
      </c>
      <c r="K80" t="s">
        <v>2374</v>
      </c>
    </row>
    <row r="81" spans="1:11" x14ac:dyDescent="0.3">
      <c r="A81" t="s">
        <v>2460</v>
      </c>
      <c r="B81" t="s">
        <v>2760</v>
      </c>
      <c r="C81" t="s">
        <v>210</v>
      </c>
      <c r="D81" t="s">
        <v>2982</v>
      </c>
      <c r="E81" t="s">
        <v>3064</v>
      </c>
      <c r="F81" t="s">
        <v>3329</v>
      </c>
      <c r="G81" t="s">
        <v>3491</v>
      </c>
      <c r="H81" t="s">
        <v>295</v>
      </c>
      <c r="I81" t="s">
        <v>2374</v>
      </c>
      <c r="J81" t="s">
        <v>2374</v>
      </c>
      <c r="K81" t="s">
        <v>2374</v>
      </c>
    </row>
    <row r="82" spans="1:11" x14ac:dyDescent="0.3">
      <c r="A82" t="s">
        <v>2461</v>
      </c>
      <c r="B82" t="s">
        <v>2761</v>
      </c>
      <c r="C82" t="s">
        <v>218</v>
      </c>
      <c r="D82" t="s">
        <v>2982</v>
      </c>
      <c r="E82" t="s">
        <v>3065</v>
      </c>
      <c r="F82" t="s">
        <v>428</v>
      </c>
      <c r="G82" t="s">
        <v>3492</v>
      </c>
      <c r="H82" t="s">
        <v>3648</v>
      </c>
      <c r="I82" t="s">
        <v>2374</v>
      </c>
      <c r="J82" t="s">
        <v>2374</v>
      </c>
      <c r="K82" t="s">
        <v>2375</v>
      </c>
    </row>
    <row r="83" spans="1:11" x14ac:dyDescent="0.3">
      <c r="A83" t="s">
        <v>2462</v>
      </c>
      <c r="B83" t="s">
        <v>2762</v>
      </c>
      <c r="C83" t="s">
        <v>248</v>
      </c>
      <c r="D83" t="s">
        <v>2983</v>
      </c>
      <c r="E83" t="s">
        <v>3066</v>
      </c>
      <c r="F83" t="s">
        <v>3330</v>
      </c>
      <c r="G83" t="s">
        <v>3493</v>
      </c>
      <c r="H83" t="s">
        <v>3649</v>
      </c>
      <c r="I83" t="s">
        <v>2374</v>
      </c>
      <c r="J83" t="s">
        <v>2374</v>
      </c>
      <c r="K83" t="s">
        <v>2374</v>
      </c>
    </row>
    <row r="84" spans="1:11" x14ac:dyDescent="0.3">
      <c r="A84" t="s">
        <v>2463</v>
      </c>
      <c r="B84" t="s">
        <v>2763</v>
      </c>
      <c r="C84" t="s">
        <v>212</v>
      </c>
      <c r="D84" t="s">
        <v>2984</v>
      </c>
      <c r="E84" t="s">
        <v>3067</v>
      </c>
      <c r="F84" t="s">
        <v>624</v>
      </c>
      <c r="G84" t="s">
        <v>411</v>
      </c>
      <c r="H84" t="s">
        <v>3650</v>
      </c>
      <c r="I84" t="s">
        <v>2374</v>
      </c>
      <c r="J84" t="s">
        <v>2374</v>
      </c>
      <c r="K84" t="s">
        <v>2374</v>
      </c>
    </row>
    <row r="85" spans="1:11" x14ac:dyDescent="0.3">
      <c r="A85" t="s">
        <v>2464</v>
      </c>
      <c r="B85" t="s">
        <v>2764</v>
      </c>
      <c r="C85" t="s">
        <v>210</v>
      </c>
      <c r="D85" t="s">
        <v>2982</v>
      </c>
      <c r="E85" t="s">
        <v>3068</v>
      </c>
      <c r="F85" t="s">
        <v>1856</v>
      </c>
      <c r="G85" t="s">
        <v>3494</v>
      </c>
      <c r="H85" t="s">
        <v>333</v>
      </c>
      <c r="I85" t="s">
        <v>2374</v>
      </c>
      <c r="J85" t="s">
        <v>2374</v>
      </c>
      <c r="K85" t="s">
        <v>2375</v>
      </c>
    </row>
    <row r="86" spans="1:11" x14ac:dyDescent="0.3">
      <c r="A86" t="s">
        <v>2465</v>
      </c>
      <c r="B86" t="s">
        <v>2765</v>
      </c>
      <c r="C86" t="s">
        <v>226</v>
      </c>
      <c r="D86" t="s">
        <v>2983</v>
      </c>
      <c r="E86" t="s">
        <v>3069</v>
      </c>
      <c r="F86" t="s">
        <v>3331</v>
      </c>
      <c r="G86" t="s">
        <v>1931</v>
      </c>
      <c r="H86" t="s">
        <v>365</v>
      </c>
      <c r="I86" t="s">
        <v>2374</v>
      </c>
      <c r="J86" t="s">
        <v>2374</v>
      </c>
      <c r="K86" t="s">
        <v>2375</v>
      </c>
    </row>
    <row r="87" spans="1:11" x14ac:dyDescent="0.3">
      <c r="A87" t="s">
        <v>2466</v>
      </c>
      <c r="B87" t="s">
        <v>2766</v>
      </c>
      <c r="C87" t="s">
        <v>211</v>
      </c>
      <c r="D87" t="s">
        <v>2981</v>
      </c>
      <c r="E87" t="s">
        <v>3070</v>
      </c>
      <c r="F87" t="s">
        <v>3332</v>
      </c>
      <c r="G87" t="s">
        <v>3495</v>
      </c>
      <c r="H87" t="s">
        <v>3651</v>
      </c>
      <c r="I87" t="s">
        <v>2374</v>
      </c>
      <c r="J87" t="s">
        <v>2375</v>
      </c>
      <c r="K87" t="s">
        <v>2374</v>
      </c>
    </row>
    <row r="88" spans="1:11" x14ac:dyDescent="0.3">
      <c r="A88" t="s">
        <v>2467</v>
      </c>
      <c r="B88" t="s">
        <v>2767</v>
      </c>
      <c r="C88" t="s">
        <v>239</v>
      </c>
      <c r="D88" t="s">
        <v>2983</v>
      </c>
      <c r="E88" t="s">
        <v>3071</v>
      </c>
      <c r="F88" t="s">
        <v>3333</v>
      </c>
      <c r="G88" t="s">
        <v>3496</v>
      </c>
      <c r="H88" t="s">
        <v>3652</v>
      </c>
      <c r="I88" t="s">
        <v>2374</v>
      </c>
      <c r="J88" t="s">
        <v>2374</v>
      </c>
      <c r="K88" t="s">
        <v>2375</v>
      </c>
    </row>
    <row r="89" spans="1:11" x14ac:dyDescent="0.3">
      <c r="A89" t="s">
        <v>2468</v>
      </c>
      <c r="B89" t="s">
        <v>2768</v>
      </c>
      <c r="C89" t="s">
        <v>242</v>
      </c>
      <c r="D89" t="s">
        <v>2982</v>
      </c>
      <c r="E89" t="s">
        <v>3072</v>
      </c>
      <c r="F89" t="s">
        <v>3334</v>
      </c>
      <c r="G89" t="s">
        <v>3497</v>
      </c>
      <c r="H89" t="s">
        <v>3653</v>
      </c>
      <c r="I89" t="s">
        <v>2374</v>
      </c>
      <c r="J89" t="s">
        <v>2374</v>
      </c>
      <c r="K89" t="s">
        <v>2374</v>
      </c>
    </row>
    <row r="90" spans="1:11" x14ac:dyDescent="0.3">
      <c r="A90" t="s">
        <v>2469</v>
      </c>
      <c r="B90" t="s">
        <v>2769</v>
      </c>
      <c r="C90" t="s">
        <v>229</v>
      </c>
      <c r="D90" t="s">
        <v>2981</v>
      </c>
      <c r="E90" t="s">
        <v>3073</v>
      </c>
      <c r="F90" t="s">
        <v>3335</v>
      </c>
      <c r="G90" t="s">
        <v>3422</v>
      </c>
      <c r="H90" t="s">
        <v>3654</v>
      </c>
      <c r="I90" t="s">
        <v>2374</v>
      </c>
      <c r="J90" t="s">
        <v>2375</v>
      </c>
      <c r="K90" t="s">
        <v>2375</v>
      </c>
    </row>
    <row r="91" spans="1:11" x14ac:dyDescent="0.3">
      <c r="A91" t="s">
        <v>2470</v>
      </c>
      <c r="B91" t="s">
        <v>2770</v>
      </c>
      <c r="C91" t="s">
        <v>240</v>
      </c>
      <c r="D91" t="s">
        <v>2983</v>
      </c>
      <c r="E91" t="s">
        <v>3074</v>
      </c>
      <c r="F91" t="s">
        <v>1947</v>
      </c>
      <c r="G91" t="s">
        <v>3498</v>
      </c>
      <c r="H91" t="s">
        <v>3655</v>
      </c>
      <c r="I91" t="s">
        <v>2374</v>
      </c>
      <c r="J91" t="s">
        <v>2374</v>
      </c>
      <c r="K91" t="s">
        <v>2375</v>
      </c>
    </row>
    <row r="92" spans="1:11" x14ac:dyDescent="0.3">
      <c r="A92" t="s">
        <v>2471</v>
      </c>
      <c r="B92" t="s">
        <v>2771</v>
      </c>
      <c r="C92" t="s">
        <v>209</v>
      </c>
      <c r="D92" t="s">
        <v>2983</v>
      </c>
      <c r="E92" t="s">
        <v>3075</v>
      </c>
      <c r="F92" t="s">
        <v>3336</v>
      </c>
      <c r="G92" t="s">
        <v>349</v>
      </c>
      <c r="H92" t="s">
        <v>3656</v>
      </c>
      <c r="I92" t="s">
        <v>2374</v>
      </c>
      <c r="J92" t="s">
        <v>2375</v>
      </c>
      <c r="K92" t="s">
        <v>2374</v>
      </c>
    </row>
    <row r="93" spans="1:11" x14ac:dyDescent="0.3">
      <c r="A93" t="s">
        <v>2472</v>
      </c>
      <c r="B93" t="s">
        <v>2772</v>
      </c>
      <c r="C93" t="s">
        <v>217</v>
      </c>
      <c r="D93" t="s">
        <v>2983</v>
      </c>
      <c r="E93" t="s">
        <v>3076</v>
      </c>
      <c r="F93" t="s">
        <v>332</v>
      </c>
      <c r="G93" t="s">
        <v>528</v>
      </c>
      <c r="H93" t="s">
        <v>3657</v>
      </c>
      <c r="I93" t="s">
        <v>2374</v>
      </c>
      <c r="J93" t="s">
        <v>2375</v>
      </c>
      <c r="K93" t="s">
        <v>2374</v>
      </c>
    </row>
    <row r="94" spans="1:11" x14ac:dyDescent="0.3">
      <c r="A94" t="s">
        <v>2473</v>
      </c>
      <c r="B94" t="s">
        <v>2773</v>
      </c>
      <c r="C94" t="s">
        <v>216</v>
      </c>
      <c r="D94" t="s">
        <v>2984</v>
      </c>
      <c r="E94" t="s">
        <v>3077</v>
      </c>
      <c r="F94" t="s">
        <v>3337</v>
      </c>
      <c r="G94" t="s">
        <v>564</v>
      </c>
      <c r="H94" t="s">
        <v>3658</v>
      </c>
      <c r="I94" t="s">
        <v>2374</v>
      </c>
      <c r="J94" t="s">
        <v>2375</v>
      </c>
      <c r="K94" t="s">
        <v>2375</v>
      </c>
    </row>
    <row r="95" spans="1:11" x14ac:dyDescent="0.3">
      <c r="A95" t="s">
        <v>2474</v>
      </c>
      <c r="B95" t="s">
        <v>2774</v>
      </c>
      <c r="C95" t="s">
        <v>215</v>
      </c>
      <c r="D95" t="s">
        <v>2982</v>
      </c>
      <c r="E95" t="s">
        <v>3078</v>
      </c>
      <c r="F95" t="s">
        <v>317</v>
      </c>
      <c r="G95" t="s">
        <v>3499</v>
      </c>
      <c r="H95" t="s">
        <v>3659</v>
      </c>
      <c r="I95" t="s">
        <v>2374</v>
      </c>
      <c r="J95" t="s">
        <v>2375</v>
      </c>
      <c r="K95" t="s">
        <v>2374</v>
      </c>
    </row>
    <row r="96" spans="1:11" x14ac:dyDescent="0.3">
      <c r="A96" t="s">
        <v>2475</v>
      </c>
      <c r="B96" t="s">
        <v>2775</v>
      </c>
      <c r="C96" t="s">
        <v>245</v>
      </c>
      <c r="D96" t="s">
        <v>2981</v>
      </c>
      <c r="E96" t="s">
        <v>3079</v>
      </c>
      <c r="F96" t="s">
        <v>3338</v>
      </c>
      <c r="G96" t="s">
        <v>3500</v>
      </c>
      <c r="H96" t="s">
        <v>3660</v>
      </c>
      <c r="I96" t="s">
        <v>2374</v>
      </c>
      <c r="J96" t="s">
        <v>2375</v>
      </c>
      <c r="K96" t="s">
        <v>2375</v>
      </c>
    </row>
    <row r="97" spans="1:11" x14ac:dyDescent="0.3">
      <c r="A97" t="s">
        <v>2476</v>
      </c>
      <c r="B97" t="s">
        <v>2776</v>
      </c>
      <c r="C97" t="s">
        <v>201</v>
      </c>
      <c r="D97" t="s">
        <v>2984</v>
      </c>
      <c r="E97" t="s">
        <v>3080</v>
      </c>
      <c r="F97" t="s">
        <v>2079</v>
      </c>
      <c r="G97" t="s">
        <v>3501</v>
      </c>
      <c r="H97" t="s">
        <v>3661</v>
      </c>
      <c r="I97" t="s">
        <v>2374</v>
      </c>
      <c r="J97" t="s">
        <v>2375</v>
      </c>
      <c r="K97" t="s">
        <v>2375</v>
      </c>
    </row>
    <row r="98" spans="1:11" x14ac:dyDescent="0.3">
      <c r="A98" t="s">
        <v>2477</v>
      </c>
      <c r="B98" t="s">
        <v>2777</v>
      </c>
      <c r="C98" t="s">
        <v>205</v>
      </c>
      <c r="D98" t="s">
        <v>2981</v>
      </c>
      <c r="E98" t="s">
        <v>3081</v>
      </c>
      <c r="F98" t="s">
        <v>3339</v>
      </c>
      <c r="G98" t="s">
        <v>3502</v>
      </c>
      <c r="H98" t="s">
        <v>2166</v>
      </c>
      <c r="I98" t="s">
        <v>2374</v>
      </c>
      <c r="J98" t="s">
        <v>2375</v>
      </c>
      <c r="K98" t="s">
        <v>2375</v>
      </c>
    </row>
    <row r="99" spans="1:11" x14ac:dyDescent="0.3">
      <c r="A99" t="s">
        <v>2478</v>
      </c>
      <c r="B99" t="s">
        <v>2778</v>
      </c>
      <c r="C99" t="s">
        <v>241</v>
      </c>
      <c r="D99" t="s">
        <v>2983</v>
      </c>
      <c r="E99" t="s">
        <v>3082</v>
      </c>
      <c r="F99" t="s">
        <v>299</v>
      </c>
      <c r="G99" t="s">
        <v>3503</v>
      </c>
      <c r="H99" t="s">
        <v>2233</v>
      </c>
      <c r="I99" t="s">
        <v>2374</v>
      </c>
      <c r="J99" t="s">
        <v>2375</v>
      </c>
      <c r="K99" t="s">
        <v>2374</v>
      </c>
    </row>
    <row r="100" spans="1:11" x14ac:dyDescent="0.3">
      <c r="A100" t="s">
        <v>2479</v>
      </c>
      <c r="B100" t="s">
        <v>2779</v>
      </c>
      <c r="C100" t="s">
        <v>219</v>
      </c>
      <c r="D100" t="s">
        <v>2982</v>
      </c>
      <c r="E100" t="s">
        <v>3083</v>
      </c>
      <c r="F100" t="s">
        <v>3340</v>
      </c>
      <c r="G100" t="s">
        <v>3297</v>
      </c>
      <c r="H100" t="s">
        <v>3662</v>
      </c>
      <c r="I100" t="s">
        <v>2374</v>
      </c>
      <c r="J100" t="s">
        <v>2375</v>
      </c>
      <c r="K100" t="s">
        <v>2375</v>
      </c>
    </row>
    <row r="101" spans="1:11" x14ac:dyDescent="0.3">
      <c r="A101" t="s">
        <v>2480</v>
      </c>
      <c r="B101" t="s">
        <v>2780</v>
      </c>
      <c r="C101" t="s">
        <v>204</v>
      </c>
      <c r="D101" t="s">
        <v>2983</v>
      </c>
      <c r="E101" t="s">
        <v>3084</v>
      </c>
      <c r="F101" t="s">
        <v>269</v>
      </c>
      <c r="G101" t="s">
        <v>3504</v>
      </c>
      <c r="H101" t="s">
        <v>276</v>
      </c>
      <c r="I101" t="s">
        <v>2374</v>
      </c>
      <c r="J101" t="s">
        <v>2375</v>
      </c>
      <c r="K101" t="s">
        <v>2375</v>
      </c>
    </row>
    <row r="102" spans="1:11" x14ac:dyDescent="0.3">
      <c r="A102" t="s">
        <v>2481</v>
      </c>
      <c r="B102" t="s">
        <v>2781</v>
      </c>
      <c r="C102" t="s">
        <v>224</v>
      </c>
      <c r="D102" t="s">
        <v>2982</v>
      </c>
      <c r="E102" t="s">
        <v>3085</v>
      </c>
      <c r="F102" t="s">
        <v>3341</v>
      </c>
      <c r="G102" t="s">
        <v>2105</v>
      </c>
      <c r="H102" t="s">
        <v>3663</v>
      </c>
      <c r="I102" t="s">
        <v>2374</v>
      </c>
      <c r="J102" t="s">
        <v>2375</v>
      </c>
      <c r="K102" t="s">
        <v>2374</v>
      </c>
    </row>
    <row r="103" spans="1:11" x14ac:dyDescent="0.3">
      <c r="A103" t="s">
        <v>2482</v>
      </c>
      <c r="B103" t="s">
        <v>2782</v>
      </c>
      <c r="C103" t="s">
        <v>229</v>
      </c>
      <c r="D103" t="s">
        <v>2983</v>
      </c>
      <c r="E103" t="s">
        <v>3086</v>
      </c>
      <c r="F103" t="s">
        <v>3342</v>
      </c>
      <c r="G103" t="s">
        <v>3505</v>
      </c>
      <c r="H103" t="s">
        <v>3664</v>
      </c>
      <c r="I103" t="s">
        <v>2374</v>
      </c>
      <c r="J103" t="s">
        <v>2375</v>
      </c>
      <c r="K103" t="s">
        <v>2375</v>
      </c>
    </row>
    <row r="104" spans="1:11" x14ac:dyDescent="0.3">
      <c r="A104" t="s">
        <v>2483</v>
      </c>
      <c r="B104" t="s">
        <v>2783</v>
      </c>
      <c r="C104" t="s">
        <v>246</v>
      </c>
      <c r="D104" t="s">
        <v>2981</v>
      </c>
      <c r="E104" t="s">
        <v>3087</v>
      </c>
      <c r="F104" t="s">
        <v>3343</v>
      </c>
      <c r="G104" t="s">
        <v>421</v>
      </c>
      <c r="H104" t="s">
        <v>3407</v>
      </c>
      <c r="I104" t="s">
        <v>2374</v>
      </c>
      <c r="J104" t="s">
        <v>2374</v>
      </c>
      <c r="K104" t="s">
        <v>2374</v>
      </c>
    </row>
    <row r="105" spans="1:11" x14ac:dyDescent="0.3">
      <c r="A105" t="s">
        <v>2484</v>
      </c>
      <c r="B105" t="s">
        <v>2784</v>
      </c>
      <c r="C105" t="s">
        <v>230</v>
      </c>
      <c r="D105" t="s">
        <v>2981</v>
      </c>
      <c r="E105" t="s">
        <v>3088</v>
      </c>
      <c r="F105" t="s">
        <v>3344</v>
      </c>
      <c r="G105" t="s">
        <v>290</v>
      </c>
      <c r="H105" t="s">
        <v>3665</v>
      </c>
      <c r="I105" t="s">
        <v>2375</v>
      </c>
      <c r="J105" t="s">
        <v>2374</v>
      </c>
      <c r="K105" t="s">
        <v>2375</v>
      </c>
    </row>
    <row r="106" spans="1:11" x14ac:dyDescent="0.3">
      <c r="A106" t="s">
        <v>2485</v>
      </c>
      <c r="B106" t="s">
        <v>2785</v>
      </c>
      <c r="C106" t="s">
        <v>213</v>
      </c>
      <c r="D106" t="s">
        <v>2984</v>
      </c>
      <c r="E106" t="s">
        <v>3089</v>
      </c>
      <c r="F106" t="s">
        <v>3345</v>
      </c>
      <c r="G106" t="s">
        <v>323</v>
      </c>
      <c r="H106" t="s">
        <v>3317</v>
      </c>
      <c r="I106" t="s">
        <v>2375</v>
      </c>
      <c r="J106" t="s">
        <v>2374</v>
      </c>
      <c r="K106" t="s">
        <v>2375</v>
      </c>
    </row>
    <row r="107" spans="1:11" x14ac:dyDescent="0.3">
      <c r="A107" t="s">
        <v>2486</v>
      </c>
      <c r="B107" t="s">
        <v>2786</v>
      </c>
      <c r="C107" t="s">
        <v>195</v>
      </c>
      <c r="D107" t="s">
        <v>2981</v>
      </c>
      <c r="E107" t="s">
        <v>3090</v>
      </c>
      <c r="F107" t="s">
        <v>3346</v>
      </c>
      <c r="G107" t="s">
        <v>3506</v>
      </c>
      <c r="H107" t="s">
        <v>2076</v>
      </c>
      <c r="I107" t="s">
        <v>2375</v>
      </c>
      <c r="J107" t="s">
        <v>2374</v>
      </c>
      <c r="K107" t="s">
        <v>2374</v>
      </c>
    </row>
    <row r="108" spans="1:11" x14ac:dyDescent="0.3">
      <c r="A108" t="s">
        <v>2487</v>
      </c>
      <c r="B108" t="s">
        <v>2787</v>
      </c>
      <c r="C108" t="s">
        <v>203</v>
      </c>
      <c r="D108" t="s">
        <v>2982</v>
      </c>
      <c r="E108" t="s">
        <v>3091</v>
      </c>
      <c r="F108" t="s">
        <v>640</v>
      </c>
      <c r="G108" t="s">
        <v>406</v>
      </c>
      <c r="H108" t="s">
        <v>3666</v>
      </c>
      <c r="I108" t="s">
        <v>2375</v>
      </c>
      <c r="J108" t="s">
        <v>2374</v>
      </c>
      <c r="K108" t="s">
        <v>2374</v>
      </c>
    </row>
    <row r="109" spans="1:11" x14ac:dyDescent="0.3">
      <c r="A109" t="s">
        <v>2488</v>
      </c>
      <c r="B109" t="s">
        <v>2788</v>
      </c>
      <c r="C109" t="s">
        <v>215</v>
      </c>
      <c r="D109" t="s">
        <v>2984</v>
      </c>
      <c r="E109" t="s">
        <v>3092</v>
      </c>
      <c r="F109" t="s">
        <v>503</v>
      </c>
      <c r="G109" t="s">
        <v>2110</v>
      </c>
      <c r="H109" t="s">
        <v>3667</v>
      </c>
      <c r="I109" t="s">
        <v>2375</v>
      </c>
      <c r="J109" t="s">
        <v>2374</v>
      </c>
      <c r="K109" t="s">
        <v>2375</v>
      </c>
    </row>
    <row r="110" spans="1:11" x14ac:dyDescent="0.3">
      <c r="A110" t="s">
        <v>2489</v>
      </c>
      <c r="B110" t="s">
        <v>2789</v>
      </c>
      <c r="C110" t="s">
        <v>221</v>
      </c>
      <c r="D110" t="s">
        <v>2981</v>
      </c>
      <c r="E110" t="s">
        <v>3093</v>
      </c>
      <c r="F110" t="s">
        <v>331</v>
      </c>
      <c r="G110" t="s">
        <v>3507</v>
      </c>
      <c r="H110" t="s">
        <v>3484</v>
      </c>
      <c r="I110" t="s">
        <v>2374</v>
      </c>
      <c r="J110" t="s">
        <v>2374</v>
      </c>
      <c r="K110" t="s">
        <v>2375</v>
      </c>
    </row>
    <row r="111" spans="1:11" x14ac:dyDescent="0.3">
      <c r="A111" t="s">
        <v>2490</v>
      </c>
      <c r="B111" t="s">
        <v>2790</v>
      </c>
      <c r="C111" t="s">
        <v>242</v>
      </c>
      <c r="D111" t="s">
        <v>2984</v>
      </c>
      <c r="E111" t="s">
        <v>3094</v>
      </c>
      <c r="F111" t="s">
        <v>3347</v>
      </c>
      <c r="G111" t="s">
        <v>3508</v>
      </c>
      <c r="H111" t="s">
        <v>3668</v>
      </c>
      <c r="I111" t="s">
        <v>2375</v>
      </c>
      <c r="J111" t="s">
        <v>2374</v>
      </c>
      <c r="K111" t="s">
        <v>2375</v>
      </c>
    </row>
    <row r="112" spans="1:11" x14ac:dyDescent="0.3">
      <c r="A112" t="s">
        <v>2491</v>
      </c>
      <c r="B112" t="s">
        <v>2791</v>
      </c>
      <c r="C112" t="s">
        <v>246</v>
      </c>
      <c r="D112" t="s">
        <v>2984</v>
      </c>
      <c r="E112" t="s">
        <v>3095</v>
      </c>
      <c r="F112" t="s">
        <v>3348</v>
      </c>
      <c r="G112" t="s">
        <v>3509</v>
      </c>
      <c r="H112" t="s">
        <v>653</v>
      </c>
      <c r="I112" t="s">
        <v>2375</v>
      </c>
      <c r="J112" t="s">
        <v>2374</v>
      </c>
      <c r="K112" t="s">
        <v>2374</v>
      </c>
    </row>
    <row r="113" spans="1:11" x14ac:dyDescent="0.3">
      <c r="A113" t="s">
        <v>2492</v>
      </c>
      <c r="B113" t="s">
        <v>2792</v>
      </c>
      <c r="C113" t="s">
        <v>222</v>
      </c>
      <c r="D113" t="s">
        <v>2981</v>
      </c>
      <c r="E113" t="s">
        <v>3096</v>
      </c>
      <c r="F113" t="s">
        <v>324</v>
      </c>
      <c r="G113" t="s">
        <v>3510</v>
      </c>
      <c r="H113" t="s">
        <v>3669</v>
      </c>
      <c r="I113" t="s">
        <v>2374</v>
      </c>
      <c r="J113" t="s">
        <v>2374</v>
      </c>
      <c r="K113" t="s">
        <v>2374</v>
      </c>
    </row>
    <row r="114" spans="1:11" x14ac:dyDescent="0.3">
      <c r="A114" t="s">
        <v>2493</v>
      </c>
      <c r="B114" t="s">
        <v>2793</v>
      </c>
      <c r="C114" t="s">
        <v>231</v>
      </c>
      <c r="D114" t="s">
        <v>2982</v>
      </c>
      <c r="E114" t="s">
        <v>3097</v>
      </c>
      <c r="F114" t="s">
        <v>3349</v>
      </c>
      <c r="G114" t="s">
        <v>3511</v>
      </c>
      <c r="H114" t="s">
        <v>1964</v>
      </c>
      <c r="I114" t="s">
        <v>2374</v>
      </c>
      <c r="J114" t="s">
        <v>2374</v>
      </c>
      <c r="K114" t="s">
        <v>2375</v>
      </c>
    </row>
    <row r="115" spans="1:11" x14ac:dyDescent="0.3">
      <c r="A115" t="s">
        <v>2494</v>
      </c>
      <c r="B115" t="s">
        <v>2794</v>
      </c>
      <c r="C115" t="s">
        <v>227</v>
      </c>
      <c r="D115" t="s">
        <v>2981</v>
      </c>
      <c r="E115" t="s">
        <v>3098</v>
      </c>
      <c r="F115" t="s">
        <v>3350</v>
      </c>
      <c r="G115" t="s">
        <v>3512</v>
      </c>
      <c r="H115" t="s">
        <v>2284</v>
      </c>
      <c r="I115" t="s">
        <v>2374</v>
      </c>
      <c r="J115" t="s">
        <v>2374</v>
      </c>
      <c r="K115" t="s">
        <v>2374</v>
      </c>
    </row>
    <row r="116" spans="1:11" x14ac:dyDescent="0.3">
      <c r="A116" t="s">
        <v>2495</v>
      </c>
      <c r="B116" t="s">
        <v>2795</v>
      </c>
      <c r="C116" t="s">
        <v>208</v>
      </c>
      <c r="D116" t="s">
        <v>2982</v>
      </c>
      <c r="E116" t="s">
        <v>3099</v>
      </c>
      <c r="F116" t="s">
        <v>3351</v>
      </c>
      <c r="G116" t="s">
        <v>3513</v>
      </c>
      <c r="H116" t="s">
        <v>3670</v>
      </c>
      <c r="I116" t="s">
        <v>2374</v>
      </c>
      <c r="J116" t="s">
        <v>2374</v>
      </c>
      <c r="K116" t="s">
        <v>2375</v>
      </c>
    </row>
    <row r="117" spans="1:11" x14ac:dyDescent="0.3">
      <c r="A117" t="s">
        <v>2496</v>
      </c>
      <c r="B117" t="s">
        <v>2796</v>
      </c>
      <c r="C117" t="s">
        <v>249</v>
      </c>
      <c r="D117" t="s">
        <v>2981</v>
      </c>
      <c r="E117" t="s">
        <v>3100</v>
      </c>
      <c r="F117" t="s">
        <v>359</v>
      </c>
      <c r="G117" t="s">
        <v>3514</v>
      </c>
      <c r="H117" t="s">
        <v>3509</v>
      </c>
      <c r="I117" t="s">
        <v>2374</v>
      </c>
      <c r="J117" t="s">
        <v>2374</v>
      </c>
      <c r="K117" t="s">
        <v>2374</v>
      </c>
    </row>
    <row r="118" spans="1:11" x14ac:dyDescent="0.3">
      <c r="A118" t="s">
        <v>2497</v>
      </c>
      <c r="B118" t="s">
        <v>2797</v>
      </c>
      <c r="C118" t="s">
        <v>211</v>
      </c>
      <c r="D118" t="s">
        <v>2984</v>
      </c>
      <c r="E118" t="s">
        <v>3101</v>
      </c>
      <c r="F118" t="s">
        <v>3352</v>
      </c>
      <c r="G118" t="s">
        <v>498</v>
      </c>
      <c r="H118" t="s">
        <v>2072</v>
      </c>
      <c r="I118" t="s">
        <v>2374</v>
      </c>
      <c r="J118" t="s">
        <v>2374</v>
      </c>
      <c r="K118" t="s">
        <v>2374</v>
      </c>
    </row>
    <row r="119" spans="1:11" x14ac:dyDescent="0.3">
      <c r="A119" t="s">
        <v>2498</v>
      </c>
      <c r="B119" t="s">
        <v>2798</v>
      </c>
      <c r="C119" t="s">
        <v>244</v>
      </c>
      <c r="D119" t="s">
        <v>2982</v>
      </c>
      <c r="E119" t="s">
        <v>3102</v>
      </c>
      <c r="F119" t="s">
        <v>3353</v>
      </c>
      <c r="G119" t="s">
        <v>3515</v>
      </c>
      <c r="H119" t="s">
        <v>468</v>
      </c>
      <c r="I119" t="s">
        <v>2374</v>
      </c>
      <c r="J119" t="s">
        <v>2374</v>
      </c>
      <c r="K119" t="s">
        <v>2375</v>
      </c>
    </row>
    <row r="120" spans="1:11" x14ac:dyDescent="0.3">
      <c r="A120" t="s">
        <v>2499</v>
      </c>
      <c r="B120" t="s">
        <v>2799</v>
      </c>
      <c r="C120" t="s">
        <v>224</v>
      </c>
      <c r="D120" t="s">
        <v>2983</v>
      </c>
      <c r="E120" t="s">
        <v>3103</v>
      </c>
      <c r="F120" t="s">
        <v>3354</v>
      </c>
      <c r="G120" t="s">
        <v>588</v>
      </c>
      <c r="H120" t="s">
        <v>3671</v>
      </c>
      <c r="I120" t="s">
        <v>2374</v>
      </c>
      <c r="J120" t="s">
        <v>2374</v>
      </c>
      <c r="K120" t="s">
        <v>2374</v>
      </c>
    </row>
    <row r="121" spans="1:11" x14ac:dyDescent="0.3">
      <c r="A121" t="s">
        <v>2500</v>
      </c>
      <c r="B121" t="s">
        <v>2800</v>
      </c>
      <c r="C121" t="s">
        <v>242</v>
      </c>
      <c r="D121" t="s">
        <v>2984</v>
      </c>
      <c r="E121" t="s">
        <v>3104</v>
      </c>
      <c r="F121" t="s">
        <v>2114</v>
      </c>
      <c r="G121" t="s">
        <v>622</v>
      </c>
      <c r="H121" t="s">
        <v>354</v>
      </c>
      <c r="I121" t="s">
        <v>2374</v>
      </c>
      <c r="J121" t="s">
        <v>2374</v>
      </c>
      <c r="K121" t="s">
        <v>2375</v>
      </c>
    </row>
    <row r="122" spans="1:11" x14ac:dyDescent="0.3">
      <c r="A122" t="s">
        <v>2501</v>
      </c>
      <c r="B122" t="s">
        <v>2801</v>
      </c>
      <c r="C122" t="s">
        <v>203</v>
      </c>
      <c r="D122" t="s">
        <v>2982</v>
      </c>
      <c r="E122" t="s">
        <v>3105</v>
      </c>
      <c r="F122" t="s">
        <v>3355</v>
      </c>
      <c r="G122" t="s">
        <v>3516</v>
      </c>
      <c r="H122" t="s">
        <v>3672</v>
      </c>
      <c r="I122" t="s">
        <v>2374</v>
      </c>
      <c r="J122" t="s">
        <v>2374</v>
      </c>
      <c r="K122" t="s">
        <v>2374</v>
      </c>
    </row>
    <row r="123" spans="1:11" x14ac:dyDescent="0.3">
      <c r="A123" t="s">
        <v>2502</v>
      </c>
      <c r="B123" t="s">
        <v>2802</v>
      </c>
      <c r="C123" t="s">
        <v>244</v>
      </c>
      <c r="D123" t="s">
        <v>2983</v>
      </c>
      <c r="E123" t="s">
        <v>3106</v>
      </c>
      <c r="F123" t="s">
        <v>3356</v>
      </c>
      <c r="G123" t="s">
        <v>3517</v>
      </c>
      <c r="H123" t="s">
        <v>3673</v>
      </c>
      <c r="I123" t="s">
        <v>2374</v>
      </c>
      <c r="J123" t="s">
        <v>2374</v>
      </c>
      <c r="K123" t="s">
        <v>2375</v>
      </c>
    </row>
    <row r="124" spans="1:11" x14ac:dyDescent="0.3">
      <c r="A124" t="s">
        <v>2503</v>
      </c>
      <c r="B124" t="s">
        <v>2803</v>
      </c>
      <c r="C124" t="s">
        <v>194</v>
      </c>
      <c r="D124" t="s">
        <v>2983</v>
      </c>
      <c r="E124" t="s">
        <v>3107</v>
      </c>
      <c r="F124" t="s">
        <v>3357</v>
      </c>
      <c r="G124" t="s">
        <v>375</v>
      </c>
      <c r="H124" t="s">
        <v>3674</v>
      </c>
      <c r="I124" t="s">
        <v>2374</v>
      </c>
      <c r="J124" t="s">
        <v>2374</v>
      </c>
      <c r="K124" t="s">
        <v>2374</v>
      </c>
    </row>
    <row r="125" spans="1:11" x14ac:dyDescent="0.3">
      <c r="A125" t="s">
        <v>2504</v>
      </c>
      <c r="B125" t="s">
        <v>2804</v>
      </c>
      <c r="C125" t="s">
        <v>192</v>
      </c>
      <c r="D125" t="s">
        <v>2982</v>
      </c>
      <c r="E125" t="s">
        <v>3108</v>
      </c>
      <c r="F125" t="s">
        <v>3358</v>
      </c>
      <c r="G125" t="s">
        <v>384</v>
      </c>
      <c r="H125" t="s">
        <v>3326</v>
      </c>
      <c r="I125" t="s">
        <v>2374</v>
      </c>
      <c r="J125" t="s">
        <v>2374</v>
      </c>
      <c r="K125" t="s">
        <v>2374</v>
      </c>
    </row>
    <row r="126" spans="1:11" x14ac:dyDescent="0.3">
      <c r="A126" t="s">
        <v>2505</v>
      </c>
      <c r="B126" t="s">
        <v>2805</v>
      </c>
      <c r="C126" t="s">
        <v>219</v>
      </c>
      <c r="D126" t="s">
        <v>2981</v>
      </c>
      <c r="E126" t="s">
        <v>3109</v>
      </c>
      <c r="F126" t="s">
        <v>615</v>
      </c>
      <c r="G126" t="s">
        <v>1865</v>
      </c>
      <c r="H126" t="s">
        <v>623</v>
      </c>
      <c r="I126" t="s">
        <v>2374</v>
      </c>
      <c r="J126" t="s">
        <v>2374</v>
      </c>
      <c r="K126" t="s">
        <v>2374</v>
      </c>
    </row>
    <row r="127" spans="1:11" x14ac:dyDescent="0.3">
      <c r="A127" t="s">
        <v>2506</v>
      </c>
      <c r="B127" t="s">
        <v>2806</v>
      </c>
      <c r="C127" t="s">
        <v>194</v>
      </c>
      <c r="D127" t="s">
        <v>2984</v>
      </c>
      <c r="E127" t="s">
        <v>3110</v>
      </c>
      <c r="F127" t="s">
        <v>264</v>
      </c>
      <c r="G127" t="s">
        <v>433</v>
      </c>
      <c r="H127" t="s">
        <v>1821</v>
      </c>
      <c r="I127" t="s">
        <v>2374</v>
      </c>
      <c r="J127" t="s">
        <v>2374</v>
      </c>
      <c r="K127" t="s">
        <v>2374</v>
      </c>
    </row>
    <row r="128" spans="1:11" x14ac:dyDescent="0.3">
      <c r="A128" t="s">
        <v>2507</v>
      </c>
      <c r="B128" t="s">
        <v>2807</v>
      </c>
      <c r="C128" t="s">
        <v>236</v>
      </c>
      <c r="D128" t="s">
        <v>2983</v>
      </c>
      <c r="E128" t="s">
        <v>3111</v>
      </c>
      <c r="F128" t="s">
        <v>526</v>
      </c>
      <c r="G128" t="s">
        <v>3518</v>
      </c>
      <c r="H128" t="s">
        <v>3675</v>
      </c>
      <c r="I128" t="s">
        <v>2374</v>
      </c>
      <c r="J128" t="s">
        <v>2374</v>
      </c>
      <c r="K128" t="s">
        <v>2375</v>
      </c>
    </row>
    <row r="129" spans="1:11" x14ac:dyDescent="0.3">
      <c r="A129" t="s">
        <v>2508</v>
      </c>
      <c r="B129" t="s">
        <v>2808</v>
      </c>
      <c r="C129" t="s">
        <v>217</v>
      </c>
      <c r="D129" t="s">
        <v>2983</v>
      </c>
      <c r="E129" t="s">
        <v>3112</v>
      </c>
      <c r="F129" t="s">
        <v>1741</v>
      </c>
      <c r="G129" t="s">
        <v>3519</v>
      </c>
      <c r="H129" t="s">
        <v>414</v>
      </c>
      <c r="I129" t="s">
        <v>2374</v>
      </c>
      <c r="J129" t="s">
        <v>2374</v>
      </c>
      <c r="K129" t="s">
        <v>2374</v>
      </c>
    </row>
    <row r="130" spans="1:11" x14ac:dyDescent="0.3">
      <c r="A130" t="s">
        <v>2509</v>
      </c>
      <c r="B130" t="s">
        <v>2809</v>
      </c>
      <c r="C130" t="s">
        <v>219</v>
      </c>
      <c r="D130" t="s">
        <v>2982</v>
      </c>
      <c r="E130" t="s">
        <v>3113</v>
      </c>
      <c r="F130" t="s">
        <v>1839</v>
      </c>
      <c r="G130" t="s">
        <v>392</v>
      </c>
      <c r="H130" t="s">
        <v>3676</v>
      </c>
      <c r="I130" t="s">
        <v>2375</v>
      </c>
      <c r="J130" t="s">
        <v>2374</v>
      </c>
      <c r="K130" t="s">
        <v>2375</v>
      </c>
    </row>
    <row r="131" spans="1:11" x14ac:dyDescent="0.3">
      <c r="A131" t="s">
        <v>2510</v>
      </c>
      <c r="B131" t="s">
        <v>2810</v>
      </c>
      <c r="C131" t="s">
        <v>230</v>
      </c>
      <c r="D131" t="s">
        <v>2984</v>
      </c>
      <c r="E131" t="s">
        <v>3114</v>
      </c>
      <c r="F131" t="s">
        <v>3359</v>
      </c>
      <c r="G131" t="s">
        <v>3520</v>
      </c>
      <c r="H131" t="s">
        <v>3677</v>
      </c>
      <c r="I131" t="s">
        <v>2374</v>
      </c>
      <c r="J131" t="s">
        <v>2374</v>
      </c>
      <c r="K131" t="s">
        <v>2375</v>
      </c>
    </row>
    <row r="132" spans="1:11" x14ac:dyDescent="0.3">
      <c r="A132" t="s">
        <v>2511</v>
      </c>
      <c r="B132" t="s">
        <v>2811</v>
      </c>
      <c r="C132" t="s">
        <v>231</v>
      </c>
      <c r="D132" t="s">
        <v>2981</v>
      </c>
      <c r="E132" t="s">
        <v>3115</v>
      </c>
      <c r="F132" t="s">
        <v>3360</v>
      </c>
      <c r="G132" t="s">
        <v>3521</v>
      </c>
      <c r="H132" t="s">
        <v>3382</v>
      </c>
      <c r="I132" t="s">
        <v>2374</v>
      </c>
      <c r="J132" t="s">
        <v>2374</v>
      </c>
      <c r="K132" t="s">
        <v>2375</v>
      </c>
    </row>
    <row r="133" spans="1:11" x14ac:dyDescent="0.3">
      <c r="A133" t="s">
        <v>2512</v>
      </c>
      <c r="B133" t="s">
        <v>2812</v>
      </c>
      <c r="C133" t="s">
        <v>245</v>
      </c>
      <c r="D133" t="s">
        <v>2982</v>
      </c>
      <c r="E133" t="s">
        <v>3116</v>
      </c>
      <c r="F133" t="s">
        <v>3361</v>
      </c>
      <c r="G133" t="s">
        <v>3522</v>
      </c>
      <c r="H133" t="s">
        <v>414</v>
      </c>
      <c r="I133" t="s">
        <v>2375</v>
      </c>
      <c r="J133" t="s">
        <v>2374</v>
      </c>
      <c r="K133" t="s">
        <v>2374</v>
      </c>
    </row>
    <row r="134" spans="1:11" x14ac:dyDescent="0.3">
      <c r="A134" t="s">
        <v>2513</v>
      </c>
      <c r="B134" t="s">
        <v>2813</v>
      </c>
      <c r="C134" t="s">
        <v>194</v>
      </c>
      <c r="D134" t="s">
        <v>2981</v>
      </c>
      <c r="E134" t="s">
        <v>3117</v>
      </c>
      <c r="F134" t="s">
        <v>3362</v>
      </c>
      <c r="G134" t="s">
        <v>3523</v>
      </c>
      <c r="H134" t="s">
        <v>347</v>
      </c>
      <c r="I134" t="s">
        <v>2375</v>
      </c>
      <c r="J134" t="s">
        <v>2374</v>
      </c>
      <c r="K134" t="s">
        <v>2374</v>
      </c>
    </row>
    <row r="135" spans="1:11" x14ac:dyDescent="0.3">
      <c r="A135" t="s">
        <v>2514</v>
      </c>
      <c r="B135" t="s">
        <v>2814</v>
      </c>
      <c r="C135" t="s">
        <v>214</v>
      </c>
      <c r="D135" t="s">
        <v>2983</v>
      </c>
      <c r="E135" t="s">
        <v>3118</v>
      </c>
      <c r="F135" t="s">
        <v>3363</v>
      </c>
      <c r="G135" t="s">
        <v>3524</v>
      </c>
      <c r="H135" t="s">
        <v>3606</v>
      </c>
      <c r="I135" t="s">
        <v>2374</v>
      </c>
      <c r="J135" t="s">
        <v>2374</v>
      </c>
      <c r="K135" t="s">
        <v>2374</v>
      </c>
    </row>
    <row r="136" spans="1:11" x14ac:dyDescent="0.3">
      <c r="A136" t="s">
        <v>2515</v>
      </c>
      <c r="B136" t="s">
        <v>2815</v>
      </c>
      <c r="C136" t="s">
        <v>213</v>
      </c>
      <c r="D136" t="s">
        <v>2983</v>
      </c>
      <c r="E136" t="s">
        <v>3119</v>
      </c>
      <c r="F136" t="s">
        <v>3364</v>
      </c>
      <c r="G136" t="s">
        <v>3525</v>
      </c>
      <c r="H136" t="s">
        <v>3678</v>
      </c>
      <c r="I136" t="s">
        <v>2374</v>
      </c>
      <c r="J136" t="s">
        <v>2374</v>
      </c>
      <c r="K136" t="s">
        <v>2374</v>
      </c>
    </row>
    <row r="137" spans="1:11" x14ac:dyDescent="0.3">
      <c r="A137" t="s">
        <v>2516</v>
      </c>
      <c r="B137" t="s">
        <v>2816</v>
      </c>
      <c r="C137" t="s">
        <v>231</v>
      </c>
      <c r="D137" t="s">
        <v>2981</v>
      </c>
      <c r="E137" t="s">
        <v>3120</v>
      </c>
      <c r="F137" t="s">
        <v>1869</v>
      </c>
      <c r="G137" t="s">
        <v>3526</v>
      </c>
      <c r="H137" t="s">
        <v>2337</v>
      </c>
      <c r="I137" t="s">
        <v>2374</v>
      </c>
      <c r="J137" t="s">
        <v>2374</v>
      </c>
      <c r="K137" t="s">
        <v>2374</v>
      </c>
    </row>
    <row r="138" spans="1:11" x14ac:dyDescent="0.3">
      <c r="A138" t="s">
        <v>2517</v>
      </c>
      <c r="B138" t="s">
        <v>2817</v>
      </c>
      <c r="C138" t="s">
        <v>216</v>
      </c>
      <c r="D138" t="s">
        <v>2984</v>
      </c>
      <c r="E138" t="s">
        <v>3121</v>
      </c>
      <c r="F138" t="s">
        <v>1773</v>
      </c>
      <c r="G138" t="s">
        <v>3302</v>
      </c>
      <c r="H138" t="s">
        <v>3679</v>
      </c>
      <c r="I138" t="s">
        <v>2374</v>
      </c>
      <c r="J138" t="s">
        <v>2374</v>
      </c>
      <c r="K138" t="s">
        <v>2374</v>
      </c>
    </row>
    <row r="139" spans="1:11" x14ac:dyDescent="0.3">
      <c r="A139" t="s">
        <v>2518</v>
      </c>
      <c r="B139" t="s">
        <v>2818</v>
      </c>
      <c r="C139" t="s">
        <v>240</v>
      </c>
      <c r="D139" t="s">
        <v>2982</v>
      </c>
      <c r="E139" t="s">
        <v>3122</v>
      </c>
      <c r="F139" t="s">
        <v>1870</v>
      </c>
      <c r="G139" t="s">
        <v>3527</v>
      </c>
      <c r="H139" t="s">
        <v>3680</v>
      </c>
      <c r="I139" t="s">
        <v>2374</v>
      </c>
      <c r="J139" t="s">
        <v>2374</v>
      </c>
      <c r="K139" t="s">
        <v>2374</v>
      </c>
    </row>
    <row r="140" spans="1:11" x14ac:dyDescent="0.3">
      <c r="A140" t="s">
        <v>2519</v>
      </c>
      <c r="B140" t="s">
        <v>2819</v>
      </c>
      <c r="C140" t="s">
        <v>225</v>
      </c>
      <c r="D140" t="s">
        <v>2983</v>
      </c>
      <c r="E140" t="s">
        <v>3123</v>
      </c>
      <c r="F140" t="s">
        <v>3365</v>
      </c>
      <c r="G140" t="s">
        <v>676</v>
      </c>
      <c r="H140" t="s">
        <v>3681</v>
      </c>
      <c r="I140" t="s">
        <v>2374</v>
      </c>
      <c r="J140" t="s">
        <v>2374</v>
      </c>
      <c r="K140" t="s">
        <v>2375</v>
      </c>
    </row>
    <row r="141" spans="1:11" x14ac:dyDescent="0.3">
      <c r="A141" t="s">
        <v>2520</v>
      </c>
      <c r="B141" t="s">
        <v>2820</v>
      </c>
      <c r="C141" t="s">
        <v>248</v>
      </c>
      <c r="D141" t="s">
        <v>2983</v>
      </c>
      <c r="E141" t="s">
        <v>3124</v>
      </c>
      <c r="F141" t="s">
        <v>3351</v>
      </c>
      <c r="G141" t="s">
        <v>464</v>
      </c>
      <c r="H141" t="s">
        <v>3682</v>
      </c>
      <c r="I141" t="s">
        <v>2375</v>
      </c>
      <c r="J141" t="s">
        <v>2374</v>
      </c>
      <c r="K141" t="s">
        <v>2374</v>
      </c>
    </row>
    <row r="142" spans="1:11" x14ac:dyDescent="0.3">
      <c r="A142" t="s">
        <v>2521</v>
      </c>
      <c r="B142" t="s">
        <v>2821</v>
      </c>
      <c r="C142" t="s">
        <v>198</v>
      </c>
      <c r="D142" t="s">
        <v>2981</v>
      </c>
      <c r="E142" t="s">
        <v>3125</v>
      </c>
      <c r="F142" t="s">
        <v>3366</v>
      </c>
      <c r="G142" t="s">
        <v>328</v>
      </c>
      <c r="H142" t="s">
        <v>3683</v>
      </c>
      <c r="I142" t="s">
        <v>2375</v>
      </c>
      <c r="J142" t="s">
        <v>2374</v>
      </c>
      <c r="K142" t="s">
        <v>2374</v>
      </c>
    </row>
    <row r="143" spans="1:11" x14ac:dyDescent="0.3">
      <c r="A143" t="s">
        <v>2522</v>
      </c>
      <c r="B143" t="s">
        <v>2822</v>
      </c>
      <c r="C143" t="s">
        <v>220</v>
      </c>
      <c r="D143" t="s">
        <v>2982</v>
      </c>
      <c r="E143" t="s">
        <v>3126</v>
      </c>
      <c r="F143" t="s">
        <v>1742</v>
      </c>
      <c r="G143" t="s">
        <v>3528</v>
      </c>
      <c r="H143" t="s">
        <v>3684</v>
      </c>
      <c r="I143" t="s">
        <v>2374</v>
      </c>
      <c r="J143" t="s">
        <v>2374</v>
      </c>
      <c r="K143" t="s">
        <v>2375</v>
      </c>
    </row>
    <row r="144" spans="1:11" x14ac:dyDescent="0.3">
      <c r="A144" t="s">
        <v>2523</v>
      </c>
      <c r="B144" t="s">
        <v>2823</v>
      </c>
      <c r="C144" t="s">
        <v>221</v>
      </c>
      <c r="D144" t="s">
        <v>2984</v>
      </c>
      <c r="E144" t="s">
        <v>3127</v>
      </c>
      <c r="F144" t="s">
        <v>3367</v>
      </c>
      <c r="G144" t="s">
        <v>672</v>
      </c>
      <c r="H144" t="s">
        <v>322</v>
      </c>
      <c r="I144" t="s">
        <v>2375</v>
      </c>
      <c r="J144" t="s">
        <v>2374</v>
      </c>
      <c r="K144" t="s">
        <v>2374</v>
      </c>
    </row>
    <row r="145" spans="1:11" x14ac:dyDescent="0.3">
      <c r="A145" t="s">
        <v>2524</v>
      </c>
      <c r="B145" t="s">
        <v>2824</v>
      </c>
      <c r="C145" t="s">
        <v>209</v>
      </c>
      <c r="D145" t="s">
        <v>2982</v>
      </c>
      <c r="E145" t="s">
        <v>3128</v>
      </c>
      <c r="F145" t="s">
        <v>467</v>
      </c>
      <c r="G145" t="s">
        <v>678</v>
      </c>
      <c r="H145" t="s">
        <v>3685</v>
      </c>
      <c r="I145" t="s">
        <v>2374</v>
      </c>
      <c r="J145" t="s">
        <v>2374</v>
      </c>
      <c r="K145" t="s">
        <v>2375</v>
      </c>
    </row>
    <row r="146" spans="1:11" x14ac:dyDescent="0.3">
      <c r="A146" t="s">
        <v>2525</v>
      </c>
      <c r="B146" t="s">
        <v>2825</v>
      </c>
      <c r="C146" t="s">
        <v>194</v>
      </c>
      <c r="D146" t="s">
        <v>2984</v>
      </c>
      <c r="E146" t="s">
        <v>3129</v>
      </c>
      <c r="F146" t="s">
        <v>3368</v>
      </c>
      <c r="G146" t="s">
        <v>3529</v>
      </c>
      <c r="H146" t="s">
        <v>3394</v>
      </c>
      <c r="I146" t="s">
        <v>2375</v>
      </c>
      <c r="J146" t="s">
        <v>2374</v>
      </c>
      <c r="K146" t="s">
        <v>2374</v>
      </c>
    </row>
    <row r="147" spans="1:11" x14ac:dyDescent="0.3">
      <c r="A147" t="s">
        <v>2526</v>
      </c>
      <c r="B147" t="s">
        <v>2826</v>
      </c>
      <c r="C147" t="s">
        <v>227</v>
      </c>
      <c r="D147" t="s">
        <v>2981</v>
      </c>
      <c r="E147" t="s">
        <v>3130</v>
      </c>
      <c r="F147" t="s">
        <v>347</v>
      </c>
      <c r="G147" t="s">
        <v>297</v>
      </c>
      <c r="H147" t="s">
        <v>3455</v>
      </c>
      <c r="I147" t="s">
        <v>2375</v>
      </c>
      <c r="J147" t="s">
        <v>2374</v>
      </c>
      <c r="K147" t="s">
        <v>2375</v>
      </c>
    </row>
    <row r="148" spans="1:11" x14ac:dyDescent="0.3">
      <c r="A148" t="s">
        <v>2527</v>
      </c>
      <c r="B148" t="s">
        <v>2827</v>
      </c>
      <c r="C148" t="s">
        <v>206</v>
      </c>
      <c r="D148" t="s">
        <v>2981</v>
      </c>
      <c r="E148" t="s">
        <v>3131</v>
      </c>
      <c r="F148" t="s">
        <v>3369</v>
      </c>
      <c r="G148" t="s">
        <v>517</v>
      </c>
      <c r="H148" t="s">
        <v>3548</v>
      </c>
      <c r="I148" t="s">
        <v>2374</v>
      </c>
      <c r="J148" t="s">
        <v>2374</v>
      </c>
      <c r="K148" t="s">
        <v>2375</v>
      </c>
    </row>
    <row r="149" spans="1:11" x14ac:dyDescent="0.3">
      <c r="A149" t="s">
        <v>2528</v>
      </c>
      <c r="B149" t="s">
        <v>2828</v>
      </c>
      <c r="C149" t="s">
        <v>237</v>
      </c>
      <c r="D149" t="s">
        <v>2984</v>
      </c>
      <c r="E149" t="s">
        <v>3132</v>
      </c>
      <c r="F149" t="s">
        <v>3370</v>
      </c>
      <c r="G149" t="s">
        <v>3530</v>
      </c>
      <c r="H149" t="s">
        <v>3686</v>
      </c>
      <c r="I149" t="s">
        <v>2374</v>
      </c>
      <c r="J149" t="s">
        <v>2375</v>
      </c>
      <c r="K149" t="s">
        <v>2375</v>
      </c>
    </row>
    <row r="150" spans="1:11" x14ac:dyDescent="0.3">
      <c r="A150" t="s">
        <v>2529</v>
      </c>
      <c r="B150" t="s">
        <v>2829</v>
      </c>
      <c r="C150" t="s">
        <v>219</v>
      </c>
      <c r="D150" t="s">
        <v>2983</v>
      </c>
      <c r="E150" t="s">
        <v>3133</v>
      </c>
      <c r="F150" t="s">
        <v>3371</v>
      </c>
      <c r="G150" t="s">
        <v>3531</v>
      </c>
      <c r="H150" t="s">
        <v>2253</v>
      </c>
      <c r="I150" t="s">
        <v>2375</v>
      </c>
      <c r="J150" t="s">
        <v>2375</v>
      </c>
      <c r="K150" t="s">
        <v>2375</v>
      </c>
    </row>
    <row r="151" spans="1:11" x14ac:dyDescent="0.3">
      <c r="A151" t="s">
        <v>2530</v>
      </c>
      <c r="B151" t="s">
        <v>2830</v>
      </c>
      <c r="C151" t="s">
        <v>200</v>
      </c>
      <c r="D151" t="s">
        <v>2982</v>
      </c>
      <c r="E151" t="s">
        <v>3134</v>
      </c>
      <c r="F151" t="s">
        <v>1851</v>
      </c>
      <c r="G151" t="s">
        <v>2292</v>
      </c>
      <c r="H151" t="s">
        <v>3687</v>
      </c>
      <c r="I151" t="s">
        <v>2375</v>
      </c>
      <c r="J151" t="s">
        <v>2374</v>
      </c>
      <c r="K151" t="s">
        <v>2374</v>
      </c>
    </row>
    <row r="152" spans="1:11" x14ac:dyDescent="0.3">
      <c r="A152" t="s">
        <v>2531</v>
      </c>
      <c r="B152" t="s">
        <v>2831</v>
      </c>
      <c r="C152" t="s">
        <v>191</v>
      </c>
      <c r="D152" t="s">
        <v>2981</v>
      </c>
      <c r="E152" t="s">
        <v>3135</v>
      </c>
      <c r="F152" t="s">
        <v>3372</v>
      </c>
      <c r="G152" t="s">
        <v>3532</v>
      </c>
      <c r="H152" t="s">
        <v>3688</v>
      </c>
      <c r="I152" t="s">
        <v>2374</v>
      </c>
      <c r="J152" t="s">
        <v>2375</v>
      </c>
      <c r="K152" t="s">
        <v>2374</v>
      </c>
    </row>
    <row r="153" spans="1:11" x14ac:dyDescent="0.3">
      <c r="A153" t="s">
        <v>2532</v>
      </c>
      <c r="B153" t="s">
        <v>2832</v>
      </c>
      <c r="C153" t="s">
        <v>237</v>
      </c>
      <c r="D153" t="s">
        <v>2981</v>
      </c>
      <c r="E153" t="s">
        <v>3136</v>
      </c>
      <c r="F153" t="s">
        <v>3373</v>
      </c>
      <c r="G153" t="s">
        <v>3533</v>
      </c>
      <c r="H153" t="s">
        <v>3689</v>
      </c>
      <c r="I153" t="s">
        <v>2375</v>
      </c>
      <c r="J153" t="s">
        <v>2375</v>
      </c>
      <c r="K153" t="s">
        <v>2375</v>
      </c>
    </row>
    <row r="154" spans="1:11" x14ac:dyDescent="0.3">
      <c r="A154" t="s">
        <v>2533</v>
      </c>
      <c r="B154" t="s">
        <v>2833</v>
      </c>
      <c r="C154" t="s">
        <v>237</v>
      </c>
      <c r="D154" t="s">
        <v>2984</v>
      </c>
      <c r="E154" t="s">
        <v>3137</v>
      </c>
      <c r="F154" t="s">
        <v>3374</v>
      </c>
      <c r="G154" t="s">
        <v>361</v>
      </c>
      <c r="H154" t="s">
        <v>3690</v>
      </c>
      <c r="I154" t="s">
        <v>2375</v>
      </c>
      <c r="J154" t="s">
        <v>2374</v>
      </c>
      <c r="K154" t="s">
        <v>2375</v>
      </c>
    </row>
    <row r="155" spans="1:11" x14ac:dyDescent="0.3">
      <c r="A155" t="s">
        <v>2534</v>
      </c>
      <c r="B155" t="s">
        <v>2834</v>
      </c>
      <c r="C155" t="s">
        <v>212</v>
      </c>
      <c r="D155" t="s">
        <v>2983</v>
      </c>
      <c r="E155" t="s">
        <v>3138</v>
      </c>
      <c r="F155" t="s">
        <v>392</v>
      </c>
      <c r="G155" t="s">
        <v>3534</v>
      </c>
      <c r="H155" t="s">
        <v>3691</v>
      </c>
      <c r="I155" t="s">
        <v>2374</v>
      </c>
      <c r="J155" t="s">
        <v>2374</v>
      </c>
      <c r="K155" t="s">
        <v>2374</v>
      </c>
    </row>
    <row r="156" spans="1:11" x14ac:dyDescent="0.3">
      <c r="A156" t="s">
        <v>2535</v>
      </c>
      <c r="B156" t="s">
        <v>2835</v>
      </c>
      <c r="C156" t="s">
        <v>196</v>
      </c>
      <c r="D156" t="s">
        <v>2984</v>
      </c>
      <c r="E156" t="s">
        <v>3139</v>
      </c>
      <c r="F156" t="s">
        <v>3375</v>
      </c>
      <c r="G156" t="s">
        <v>3535</v>
      </c>
      <c r="H156" t="s">
        <v>3692</v>
      </c>
      <c r="I156" t="s">
        <v>2375</v>
      </c>
      <c r="J156" t="s">
        <v>2374</v>
      </c>
      <c r="K156" t="s">
        <v>2374</v>
      </c>
    </row>
    <row r="157" spans="1:11" x14ac:dyDescent="0.3">
      <c r="A157" t="s">
        <v>2536</v>
      </c>
      <c r="B157" t="s">
        <v>2836</v>
      </c>
      <c r="C157" t="s">
        <v>229</v>
      </c>
      <c r="D157" t="s">
        <v>2983</v>
      </c>
      <c r="E157" t="s">
        <v>3140</v>
      </c>
      <c r="F157" t="s">
        <v>3376</v>
      </c>
      <c r="G157" t="s">
        <v>3536</v>
      </c>
      <c r="H157" t="s">
        <v>1899</v>
      </c>
      <c r="I157" t="s">
        <v>2374</v>
      </c>
      <c r="J157" t="s">
        <v>2375</v>
      </c>
      <c r="K157" t="s">
        <v>2374</v>
      </c>
    </row>
    <row r="158" spans="1:11" x14ac:dyDescent="0.3">
      <c r="A158" t="s">
        <v>2537</v>
      </c>
      <c r="B158" t="s">
        <v>2837</v>
      </c>
      <c r="C158" t="s">
        <v>240</v>
      </c>
      <c r="D158" t="s">
        <v>2984</v>
      </c>
      <c r="E158" t="s">
        <v>3141</v>
      </c>
      <c r="F158" t="s">
        <v>3377</v>
      </c>
      <c r="G158" t="s">
        <v>3537</v>
      </c>
      <c r="H158" t="s">
        <v>553</v>
      </c>
      <c r="I158" t="s">
        <v>2374</v>
      </c>
      <c r="J158" t="s">
        <v>2374</v>
      </c>
      <c r="K158" t="s">
        <v>2374</v>
      </c>
    </row>
    <row r="159" spans="1:11" x14ac:dyDescent="0.3">
      <c r="A159" t="s">
        <v>2538</v>
      </c>
      <c r="B159" t="s">
        <v>2838</v>
      </c>
      <c r="C159" t="s">
        <v>216</v>
      </c>
      <c r="D159" t="s">
        <v>2984</v>
      </c>
      <c r="E159" t="s">
        <v>3142</v>
      </c>
      <c r="F159" t="s">
        <v>434</v>
      </c>
      <c r="G159" t="s">
        <v>3535</v>
      </c>
      <c r="H159" t="s">
        <v>294</v>
      </c>
      <c r="I159" t="s">
        <v>2374</v>
      </c>
      <c r="J159" t="s">
        <v>2375</v>
      </c>
      <c r="K159" t="s">
        <v>2374</v>
      </c>
    </row>
    <row r="160" spans="1:11" x14ac:dyDescent="0.3">
      <c r="A160" t="s">
        <v>2539</v>
      </c>
      <c r="B160" t="s">
        <v>2839</v>
      </c>
      <c r="C160" t="s">
        <v>249</v>
      </c>
      <c r="D160" t="s">
        <v>2983</v>
      </c>
      <c r="E160" t="s">
        <v>3143</v>
      </c>
      <c r="F160" t="s">
        <v>3378</v>
      </c>
      <c r="G160" t="s">
        <v>1976</v>
      </c>
      <c r="H160" t="s">
        <v>2167</v>
      </c>
      <c r="I160" t="s">
        <v>2375</v>
      </c>
      <c r="J160" t="s">
        <v>2375</v>
      </c>
      <c r="K160" t="s">
        <v>2374</v>
      </c>
    </row>
    <row r="161" spans="1:11" x14ac:dyDescent="0.3">
      <c r="A161" t="s">
        <v>2540</v>
      </c>
      <c r="B161" t="s">
        <v>2840</v>
      </c>
      <c r="C161" t="s">
        <v>194</v>
      </c>
      <c r="D161" t="s">
        <v>2981</v>
      </c>
      <c r="E161" t="s">
        <v>3144</v>
      </c>
      <c r="F161" t="s">
        <v>555</v>
      </c>
      <c r="G161" t="s">
        <v>327</v>
      </c>
      <c r="H161" t="s">
        <v>2031</v>
      </c>
      <c r="I161" t="s">
        <v>2375</v>
      </c>
      <c r="J161" t="s">
        <v>2374</v>
      </c>
      <c r="K161" t="s">
        <v>2374</v>
      </c>
    </row>
    <row r="162" spans="1:11" x14ac:dyDescent="0.3">
      <c r="A162" t="s">
        <v>2541</v>
      </c>
      <c r="B162" t="s">
        <v>2841</v>
      </c>
      <c r="C162" t="s">
        <v>193</v>
      </c>
      <c r="D162" t="s">
        <v>2983</v>
      </c>
      <c r="E162" t="s">
        <v>3145</v>
      </c>
      <c r="F162" t="s">
        <v>2024</v>
      </c>
      <c r="G162" t="s">
        <v>3538</v>
      </c>
      <c r="H162" t="s">
        <v>3311</v>
      </c>
      <c r="I162" t="s">
        <v>2375</v>
      </c>
      <c r="J162" t="s">
        <v>2375</v>
      </c>
      <c r="K162" t="s">
        <v>2374</v>
      </c>
    </row>
    <row r="163" spans="1:11" x14ac:dyDescent="0.3">
      <c r="A163" t="s">
        <v>2542</v>
      </c>
      <c r="B163" t="s">
        <v>2842</v>
      </c>
      <c r="C163" t="s">
        <v>211</v>
      </c>
      <c r="D163" t="s">
        <v>2984</v>
      </c>
      <c r="E163" t="s">
        <v>3146</v>
      </c>
      <c r="F163" t="s">
        <v>2208</v>
      </c>
      <c r="G163" t="s">
        <v>3539</v>
      </c>
      <c r="H163" t="s">
        <v>3693</v>
      </c>
      <c r="I163" t="s">
        <v>2374</v>
      </c>
      <c r="J163" t="s">
        <v>2375</v>
      </c>
      <c r="K163" t="s">
        <v>2374</v>
      </c>
    </row>
    <row r="164" spans="1:11" x14ac:dyDescent="0.3">
      <c r="A164" t="s">
        <v>2543</v>
      </c>
      <c r="B164" t="s">
        <v>2843</v>
      </c>
      <c r="C164" t="s">
        <v>212</v>
      </c>
      <c r="D164" t="s">
        <v>2981</v>
      </c>
      <c r="E164" t="s">
        <v>3147</v>
      </c>
      <c r="F164" t="s">
        <v>3379</v>
      </c>
      <c r="G164" t="s">
        <v>2168</v>
      </c>
      <c r="H164" t="s">
        <v>592</v>
      </c>
      <c r="I164" t="s">
        <v>2374</v>
      </c>
      <c r="J164" t="s">
        <v>2375</v>
      </c>
      <c r="K164" t="s">
        <v>2374</v>
      </c>
    </row>
    <row r="165" spans="1:11" x14ac:dyDescent="0.3">
      <c r="A165" t="s">
        <v>2544</v>
      </c>
      <c r="B165" t="s">
        <v>2844</v>
      </c>
      <c r="C165" t="s">
        <v>231</v>
      </c>
      <c r="D165" t="s">
        <v>2982</v>
      </c>
      <c r="E165" t="s">
        <v>3148</v>
      </c>
      <c r="F165" t="s">
        <v>578</v>
      </c>
      <c r="G165" t="s">
        <v>2182</v>
      </c>
      <c r="H165" t="s">
        <v>3694</v>
      </c>
      <c r="I165" t="s">
        <v>2374</v>
      </c>
      <c r="J165" t="s">
        <v>2374</v>
      </c>
      <c r="K165" t="s">
        <v>2374</v>
      </c>
    </row>
    <row r="166" spans="1:11" x14ac:dyDescent="0.3">
      <c r="A166" t="s">
        <v>2545</v>
      </c>
      <c r="B166" t="s">
        <v>2845</v>
      </c>
      <c r="C166" t="s">
        <v>222</v>
      </c>
      <c r="D166" t="s">
        <v>2984</v>
      </c>
      <c r="E166" t="s">
        <v>3149</v>
      </c>
      <c r="F166" t="s">
        <v>3380</v>
      </c>
      <c r="G166" t="s">
        <v>3540</v>
      </c>
      <c r="H166" t="s">
        <v>3304</v>
      </c>
      <c r="I166" t="s">
        <v>2375</v>
      </c>
      <c r="J166" t="s">
        <v>2375</v>
      </c>
      <c r="K166" t="s">
        <v>2374</v>
      </c>
    </row>
    <row r="167" spans="1:11" x14ac:dyDescent="0.3">
      <c r="A167" t="s">
        <v>2546</v>
      </c>
      <c r="B167" t="s">
        <v>2846</v>
      </c>
      <c r="C167" t="s">
        <v>248</v>
      </c>
      <c r="D167" t="s">
        <v>2981</v>
      </c>
      <c r="E167" t="s">
        <v>3150</v>
      </c>
      <c r="F167" t="s">
        <v>2364</v>
      </c>
      <c r="G167" t="s">
        <v>3541</v>
      </c>
      <c r="H167" t="s">
        <v>1947</v>
      </c>
      <c r="I167" t="s">
        <v>2375</v>
      </c>
      <c r="J167" t="s">
        <v>2374</v>
      </c>
      <c r="K167" t="s">
        <v>2374</v>
      </c>
    </row>
    <row r="168" spans="1:11" x14ac:dyDescent="0.3">
      <c r="A168" t="s">
        <v>2547</v>
      </c>
      <c r="B168" t="s">
        <v>2847</v>
      </c>
      <c r="C168" t="s">
        <v>223</v>
      </c>
      <c r="D168" t="s">
        <v>2981</v>
      </c>
      <c r="E168" t="s">
        <v>3151</v>
      </c>
      <c r="F168" t="s">
        <v>3381</v>
      </c>
      <c r="G168" t="s">
        <v>3542</v>
      </c>
      <c r="H168" t="s">
        <v>3695</v>
      </c>
      <c r="I168" t="s">
        <v>2374</v>
      </c>
      <c r="J168" t="s">
        <v>2374</v>
      </c>
      <c r="K168" t="s">
        <v>2374</v>
      </c>
    </row>
    <row r="169" spans="1:11" x14ac:dyDescent="0.3">
      <c r="A169" t="s">
        <v>2548</v>
      </c>
      <c r="B169" t="s">
        <v>2848</v>
      </c>
      <c r="C169" t="s">
        <v>229</v>
      </c>
      <c r="D169" t="s">
        <v>2982</v>
      </c>
      <c r="E169" t="s">
        <v>3152</v>
      </c>
      <c r="F169" t="s">
        <v>3382</v>
      </c>
      <c r="G169" t="s">
        <v>355</v>
      </c>
      <c r="H169" t="s">
        <v>1893</v>
      </c>
      <c r="I169" t="s">
        <v>2374</v>
      </c>
      <c r="J169" t="s">
        <v>2375</v>
      </c>
      <c r="K169" t="s">
        <v>2374</v>
      </c>
    </row>
    <row r="170" spans="1:11" x14ac:dyDescent="0.3">
      <c r="A170" t="s">
        <v>2549</v>
      </c>
      <c r="B170" t="s">
        <v>2849</v>
      </c>
      <c r="C170" t="s">
        <v>230</v>
      </c>
      <c r="D170" t="s">
        <v>2982</v>
      </c>
      <c r="E170" t="s">
        <v>3153</v>
      </c>
      <c r="F170" t="s">
        <v>3383</v>
      </c>
      <c r="G170" t="s">
        <v>2178</v>
      </c>
      <c r="H170" t="s">
        <v>2354</v>
      </c>
      <c r="I170" t="s">
        <v>2374</v>
      </c>
      <c r="J170" t="s">
        <v>2375</v>
      </c>
      <c r="K170" t="s">
        <v>2374</v>
      </c>
    </row>
    <row r="171" spans="1:11" x14ac:dyDescent="0.3">
      <c r="A171" t="s">
        <v>2550</v>
      </c>
      <c r="B171" t="s">
        <v>2850</v>
      </c>
      <c r="C171" t="s">
        <v>190</v>
      </c>
      <c r="D171" t="s">
        <v>2984</v>
      </c>
      <c r="E171" t="s">
        <v>3154</v>
      </c>
      <c r="F171" t="s">
        <v>3384</v>
      </c>
      <c r="G171" t="s">
        <v>1937</v>
      </c>
      <c r="H171" t="s">
        <v>3696</v>
      </c>
      <c r="I171" t="s">
        <v>2374</v>
      </c>
      <c r="J171" t="s">
        <v>2375</v>
      </c>
      <c r="K171" t="s">
        <v>2374</v>
      </c>
    </row>
    <row r="172" spans="1:11" x14ac:dyDescent="0.3">
      <c r="A172" t="s">
        <v>2551</v>
      </c>
      <c r="B172" t="s">
        <v>2851</v>
      </c>
      <c r="C172" t="s">
        <v>227</v>
      </c>
      <c r="D172" t="s">
        <v>2984</v>
      </c>
      <c r="E172" t="s">
        <v>3155</v>
      </c>
      <c r="F172" t="s">
        <v>3385</v>
      </c>
      <c r="G172" t="s">
        <v>3543</v>
      </c>
      <c r="H172" t="s">
        <v>3697</v>
      </c>
      <c r="I172" t="s">
        <v>2374</v>
      </c>
      <c r="J172" t="s">
        <v>2375</v>
      </c>
      <c r="K172" t="s">
        <v>2374</v>
      </c>
    </row>
    <row r="173" spans="1:11" x14ac:dyDescent="0.3">
      <c r="A173" t="s">
        <v>2552</v>
      </c>
      <c r="B173" t="s">
        <v>2852</v>
      </c>
      <c r="C173" t="s">
        <v>220</v>
      </c>
      <c r="D173" t="s">
        <v>2981</v>
      </c>
      <c r="E173" t="s">
        <v>3156</v>
      </c>
      <c r="F173" t="s">
        <v>3386</v>
      </c>
      <c r="G173" t="s">
        <v>3544</v>
      </c>
      <c r="H173" t="s">
        <v>492</v>
      </c>
      <c r="I173" t="s">
        <v>2374</v>
      </c>
      <c r="J173" t="s">
        <v>2374</v>
      </c>
      <c r="K173" t="s">
        <v>2374</v>
      </c>
    </row>
    <row r="174" spans="1:11" x14ac:dyDescent="0.3">
      <c r="A174" t="s">
        <v>2553</v>
      </c>
      <c r="B174" t="s">
        <v>2853</v>
      </c>
      <c r="C174" t="s">
        <v>227</v>
      </c>
      <c r="D174" t="s">
        <v>2984</v>
      </c>
      <c r="E174" t="s">
        <v>3157</v>
      </c>
      <c r="F174" t="s">
        <v>3387</v>
      </c>
      <c r="G174" t="s">
        <v>446</v>
      </c>
      <c r="H174" t="s">
        <v>3451</v>
      </c>
      <c r="I174" t="s">
        <v>2374</v>
      </c>
      <c r="J174" t="s">
        <v>2374</v>
      </c>
      <c r="K174" t="s">
        <v>2374</v>
      </c>
    </row>
    <row r="175" spans="1:11" x14ac:dyDescent="0.3">
      <c r="A175" t="s">
        <v>2554</v>
      </c>
      <c r="B175" t="s">
        <v>2854</v>
      </c>
      <c r="C175" t="s">
        <v>219</v>
      </c>
      <c r="D175" t="s">
        <v>2981</v>
      </c>
      <c r="E175" t="s">
        <v>3158</v>
      </c>
      <c r="F175" t="s">
        <v>3388</v>
      </c>
      <c r="G175" t="s">
        <v>3545</v>
      </c>
      <c r="H175" t="s">
        <v>3698</v>
      </c>
      <c r="I175" t="s">
        <v>2374</v>
      </c>
      <c r="J175" t="s">
        <v>2375</v>
      </c>
      <c r="K175" t="s">
        <v>2374</v>
      </c>
    </row>
    <row r="176" spans="1:11" x14ac:dyDescent="0.3">
      <c r="A176" t="s">
        <v>2555</v>
      </c>
      <c r="B176" t="s">
        <v>2855</v>
      </c>
      <c r="C176" t="s">
        <v>237</v>
      </c>
      <c r="D176" t="s">
        <v>2982</v>
      </c>
      <c r="E176" t="s">
        <v>3159</v>
      </c>
      <c r="F176" t="s">
        <v>274</v>
      </c>
      <c r="G176" t="s">
        <v>1975</v>
      </c>
      <c r="H176" t="s">
        <v>557</v>
      </c>
      <c r="I176" t="s">
        <v>2374</v>
      </c>
      <c r="J176" t="s">
        <v>2374</v>
      </c>
      <c r="K176" t="s">
        <v>2374</v>
      </c>
    </row>
    <row r="177" spans="1:11" x14ac:dyDescent="0.3">
      <c r="A177" t="s">
        <v>2556</v>
      </c>
      <c r="B177" t="s">
        <v>2856</v>
      </c>
      <c r="C177" t="s">
        <v>207</v>
      </c>
      <c r="D177" t="s">
        <v>2981</v>
      </c>
      <c r="E177" t="s">
        <v>3160</v>
      </c>
      <c r="F177" t="s">
        <v>1893</v>
      </c>
      <c r="G177" t="s">
        <v>379</v>
      </c>
      <c r="H177" t="s">
        <v>2276</v>
      </c>
      <c r="I177" t="s">
        <v>2374</v>
      </c>
      <c r="J177" t="s">
        <v>2374</v>
      </c>
      <c r="K177" t="s">
        <v>2374</v>
      </c>
    </row>
    <row r="178" spans="1:11" x14ac:dyDescent="0.3">
      <c r="A178" t="s">
        <v>2557</v>
      </c>
      <c r="B178" t="s">
        <v>2857</v>
      </c>
      <c r="C178" t="s">
        <v>249</v>
      </c>
      <c r="D178" t="s">
        <v>2983</v>
      </c>
      <c r="E178" t="s">
        <v>3161</v>
      </c>
      <c r="F178" t="s">
        <v>3389</v>
      </c>
      <c r="G178" t="s">
        <v>3368</v>
      </c>
      <c r="H178" t="s">
        <v>3699</v>
      </c>
      <c r="I178" t="s">
        <v>2374</v>
      </c>
      <c r="J178" t="s">
        <v>2374</v>
      </c>
      <c r="K178" t="s">
        <v>2374</v>
      </c>
    </row>
    <row r="179" spans="1:11" x14ac:dyDescent="0.3">
      <c r="A179" t="s">
        <v>2558</v>
      </c>
      <c r="B179" t="s">
        <v>2858</v>
      </c>
      <c r="C179" t="s">
        <v>216</v>
      </c>
      <c r="D179" t="s">
        <v>2982</v>
      </c>
      <c r="E179" t="s">
        <v>3162</v>
      </c>
      <c r="F179" t="s">
        <v>3390</v>
      </c>
      <c r="G179" t="s">
        <v>3546</v>
      </c>
      <c r="H179" t="s">
        <v>3700</v>
      </c>
      <c r="I179" t="s">
        <v>2374</v>
      </c>
      <c r="J179" t="s">
        <v>2375</v>
      </c>
      <c r="K179" t="s">
        <v>2374</v>
      </c>
    </row>
    <row r="180" spans="1:11" x14ac:dyDescent="0.3">
      <c r="A180" t="s">
        <v>2559</v>
      </c>
      <c r="B180" t="s">
        <v>2859</v>
      </c>
      <c r="C180" t="s">
        <v>226</v>
      </c>
      <c r="D180" t="s">
        <v>2984</v>
      </c>
      <c r="E180" t="s">
        <v>3163</v>
      </c>
      <c r="F180" t="s">
        <v>3391</v>
      </c>
      <c r="G180" t="s">
        <v>3547</v>
      </c>
      <c r="H180" t="s">
        <v>3701</v>
      </c>
      <c r="I180" t="s">
        <v>2374</v>
      </c>
      <c r="J180" t="s">
        <v>2374</v>
      </c>
      <c r="K180" t="s">
        <v>2374</v>
      </c>
    </row>
    <row r="181" spans="1:11" x14ac:dyDescent="0.3">
      <c r="A181" t="s">
        <v>2560</v>
      </c>
      <c r="B181" t="s">
        <v>2860</v>
      </c>
      <c r="C181" t="s">
        <v>205</v>
      </c>
      <c r="D181" t="s">
        <v>2981</v>
      </c>
      <c r="E181" t="s">
        <v>3164</v>
      </c>
      <c r="F181" t="s">
        <v>344</v>
      </c>
      <c r="G181" t="s">
        <v>3548</v>
      </c>
      <c r="H181" t="s">
        <v>3702</v>
      </c>
      <c r="I181" t="s">
        <v>2374</v>
      </c>
      <c r="J181" t="s">
        <v>2374</v>
      </c>
      <c r="K181" t="s">
        <v>2375</v>
      </c>
    </row>
    <row r="182" spans="1:11" x14ac:dyDescent="0.3">
      <c r="A182" t="s">
        <v>2561</v>
      </c>
      <c r="B182" t="s">
        <v>2861</v>
      </c>
      <c r="C182" t="s">
        <v>198</v>
      </c>
      <c r="D182" t="s">
        <v>2981</v>
      </c>
      <c r="E182" t="s">
        <v>3165</v>
      </c>
      <c r="F182" t="s">
        <v>2294</v>
      </c>
      <c r="G182" t="s">
        <v>2251</v>
      </c>
      <c r="H182" t="s">
        <v>567</v>
      </c>
      <c r="I182" t="s">
        <v>2374</v>
      </c>
      <c r="J182" t="s">
        <v>2375</v>
      </c>
      <c r="K182" t="s">
        <v>2375</v>
      </c>
    </row>
    <row r="183" spans="1:11" x14ac:dyDescent="0.3">
      <c r="A183" t="s">
        <v>2562</v>
      </c>
      <c r="B183" t="s">
        <v>2862</v>
      </c>
      <c r="C183" t="s">
        <v>248</v>
      </c>
      <c r="D183" t="s">
        <v>2984</v>
      </c>
      <c r="E183" t="s">
        <v>3166</v>
      </c>
      <c r="F183" t="s">
        <v>528</v>
      </c>
      <c r="G183" t="s">
        <v>469</v>
      </c>
      <c r="H183" t="s">
        <v>419</v>
      </c>
      <c r="I183" t="s">
        <v>2374</v>
      </c>
      <c r="J183" t="s">
        <v>2375</v>
      </c>
      <c r="K183" t="s">
        <v>2374</v>
      </c>
    </row>
    <row r="184" spans="1:11" x14ac:dyDescent="0.3">
      <c r="A184" t="s">
        <v>2563</v>
      </c>
      <c r="B184" t="s">
        <v>2863</v>
      </c>
      <c r="C184" t="s">
        <v>193</v>
      </c>
      <c r="D184" t="s">
        <v>2982</v>
      </c>
      <c r="E184" t="s">
        <v>3167</v>
      </c>
      <c r="F184" t="s">
        <v>3392</v>
      </c>
      <c r="G184" t="s">
        <v>3549</v>
      </c>
      <c r="H184" t="s">
        <v>3703</v>
      </c>
      <c r="I184" t="s">
        <v>2374</v>
      </c>
      <c r="J184" t="s">
        <v>2375</v>
      </c>
      <c r="K184" t="s">
        <v>2374</v>
      </c>
    </row>
    <row r="185" spans="1:11" x14ac:dyDescent="0.3">
      <c r="A185" t="s">
        <v>2564</v>
      </c>
      <c r="B185" t="s">
        <v>2864</v>
      </c>
      <c r="C185" t="s">
        <v>226</v>
      </c>
      <c r="D185" t="s">
        <v>2982</v>
      </c>
      <c r="E185" t="s">
        <v>3168</v>
      </c>
      <c r="F185" t="s">
        <v>3393</v>
      </c>
      <c r="G185" t="s">
        <v>2329</v>
      </c>
      <c r="H185" t="s">
        <v>3704</v>
      </c>
      <c r="I185" t="s">
        <v>2374</v>
      </c>
      <c r="J185" t="s">
        <v>2374</v>
      </c>
      <c r="K185" t="s">
        <v>2375</v>
      </c>
    </row>
    <row r="186" spans="1:11" x14ac:dyDescent="0.3">
      <c r="A186" t="s">
        <v>2565</v>
      </c>
      <c r="B186" t="s">
        <v>2865</v>
      </c>
      <c r="C186" t="s">
        <v>247</v>
      </c>
      <c r="D186" t="s">
        <v>2981</v>
      </c>
      <c r="E186" t="s">
        <v>3169</v>
      </c>
      <c r="F186" t="s">
        <v>3394</v>
      </c>
      <c r="G186" t="s">
        <v>3550</v>
      </c>
      <c r="H186" t="s">
        <v>3678</v>
      </c>
      <c r="I186" t="s">
        <v>2375</v>
      </c>
      <c r="J186" t="s">
        <v>2374</v>
      </c>
      <c r="K186" t="s">
        <v>2375</v>
      </c>
    </row>
    <row r="187" spans="1:11" x14ac:dyDescent="0.3">
      <c r="A187" t="s">
        <v>2566</v>
      </c>
      <c r="B187" t="s">
        <v>2866</v>
      </c>
      <c r="C187" t="s">
        <v>213</v>
      </c>
      <c r="D187" t="s">
        <v>2981</v>
      </c>
      <c r="E187" t="s">
        <v>3170</v>
      </c>
      <c r="F187" t="s">
        <v>262</v>
      </c>
      <c r="G187" t="s">
        <v>3551</v>
      </c>
      <c r="H187" t="s">
        <v>388</v>
      </c>
      <c r="I187" t="s">
        <v>2374</v>
      </c>
      <c r="J187" t="s">
        <v>2375</v>
      </c>
      <c r="K187" t="s">
        <v>2375</v>
      </c>
    </row>
    <row r="188" spans="1:11" x14ac:dyDescent="0.3">
      <c r="A188" t="s">
        <v>2567</v>
      </c>
      <c r="B188" t="s">
        <v>2867</v>
      </c>
      <c r="C188" t="s">
        <v>247</v>
      </c>
      <c r="D188" t="s">
        <v>2983</v>
      </c>
      <c r="E188" t="s">
        <v>3171</v>
      </c>
      <c r="F188" t="s">
        <v>369</v>
      </c>
      <c r="G188" t="s">
        <v>3552</v>
      </c>
      <c r="H188" t="s">
        <v>3705</v>
      </c>
      <c r="I188" t="s">
        <v>2374</v>
      </c>
      <c r="J188" t="s">
        <v>2375</v>
      </c>
      <c r="K188" t="s">
        <v>2375</v>
      </c>
    </row>
    <row r="189" spans="1:11" x14ac:dyDescent="0.3">
      <c r="A189" t="s">
        <v>2568</v>
      </c>
      <c r="B189" t="s">
        <v>2868</v>
      </c>
      <c r="C189" t="s">
        <v>239</v>
      </c>
      <c r="D189" t="s">
        <v>2983</v>
      </c>
      <c r="E189" t="s">
        <v>3172</v>
      </c>
      <c r="F189" t="s">
        <v>3395</v>
      </c>
      <c r="G189" t="s">
        <v>2267</v>
      </c>
      <c r="H189" t="s">
        <v>537</v>
      </c>
      <c r="I189" t="s">
        <v>2375</v>
      </c>
      <c r="J189" t="s">
        <v>2374</v>
      </c>
      <c r="K189" t="s">
        <v>2374</v>
      </c>
    </row>
    <row r="190" spans="1:11" x14ac:dyDescent="0.3">
      <c r="A190" t="s">
        <v>2569</v>
      </c>
      <c r="B190" t="s">
        <v>2869</v>
      </c>
      <c r="C190" t="s">
        <v>201</v>
      </c>
      <c r="D190" t="s">
        <v>2984</v>
      </c>
      <c r="E190" t="s">
        <v>3173</v>
      </c>
      <c r="F190" t="s">
        <v>614</v>
      </c>
      <c r="G190" t="s">
        <v>1984</v>
      </c>
      <c r="H190" t="s">
        <v>480</v>
      </c>
      <c r="I190" t="s">
        <v>2375</v>
      </c>
      <c r="J190" t="s">
        <v>2374</v>
      </c>
      <c r="K190" t="s">
        <v>2375</v>
      </c>
    </row>
    <row r="191" spans="1:11" x14ac:dyDescent="0.3">
      <c r="A191" t="s">
        <v>2570</v>
      </c>
      <c r="B191" t="s">
        <v>2870</v>
      </c>
      <c r="C191" t="s">
        <v>218</v>
      </c>
      <c r="D191" t="s">
        <v>2984</v>
      </c>
      <c r="E191" t="s">
        <v>3174</v>
      </c>
      <c r="F191" t="s">
        <v>3396</v>
      </c>
      <c r="G191" t="s">
        <v>1860</v>
      </c>
      <c r="H191" t="s">
        <v>543</v>
      </c>
      <c r="I191" t="s">
        <v>2374</v>
      </c>
      <c r="J191" t="s">
        <v>2375</v>
      </c>
      <c r="K191" t="s">
        <v>2375</v>
      </c>
    </row>
    <row r="192" spans="1:11" x14ac:dyDescent="0.3">
      <c r="A192" t="s">
        <v>2571</v>
      </c>
      <c r="B192" t="s">
        <v>2871</v>
      </c>
      <c r="C192" t="s">
        <v>244</v>
      </c>
      <c r="D192" t="s">
        <v>2984</v>
      </c>
      <c r="E192" t="s">
        <v>3175</v>
      </c>
      <c r="F192" t="s">
        <v>284</v>
      </c>
      <c r="G192" t="s">
        <v>516</v>
      </c>
      <c r="H192" t="s">
        <v>3393</v>
      </c>
      <c r="I192" t="s">
        <v>2374</v>
      </c>
      <c r="J192" t="s">
        <v>2375</v>
      </c>
      <c r="K192" t="s">
        <v>2374</v>
      </c>
    </row>
    <row r="193" spans="1:11" x14ac:dyDescent="0.3">
      <c r="A193" t="s">
        <v>2572</v>
      </c>
      <c r="B193" t="s">
        <v>2872</v>
      </c>
      <c r="C193" t="s">
        <v>203</v>
      </c>
      <c r="D193" t="s">
        <v>2984</v>
      </c>
      <c r="E193" t="s">
        <v>3176</v>
      </c>
      <c r="F193" t="s">
        <v>3397</v>
      </c>
      <c r="G193" t="s">
        <v>3553</v>
      </c>
      <c r="H193" t="s">
        <v>2265</v>
      </c>
      <c r="I193" t="s">
        <v>2375</v>
      </c>
      <c r="J193" t="s">
        <v>2374</v>
      </c>
      <c r="K193" t="s">
        <v>2375</v>
      </c>
    </row>
    <row r="194" spans="1:11" x14ac:dyDescent="0.3">
      <c r="A194" t="s">
        <v>2573</v>
      </c>
      <c r="B194" t="s">
        <v>2873</v>
      </c>
      <c r="C194" t="s">
        <v>229</v>
      </c>
      <c r="D194" t="s">
        <v>2981</v>
      </c>
      <c r="E194" t="s">
        <v>3177</v>
      </c>
      <c r="F194" t="s">
        <v>3398</v>
      </c>
      <c r="G194" t="s">
        <v>1992</v>
      </c>
      <c r="H194" t="s">
        <v>3706</v>
      </c>
      <c r="I194" t="s">
        <v>2374</v>
      </c>
      <c r="J194" t="s">
        <v>2374</v>
      </c>
      <c r="K194" t="s">
        <v>2375</v>
      </c>
    </row>
    <row r="195" spans="1:11" x14ac:dyDescent="0.3">
      <c r="A195" t="s">
        <v>2574</v>
      </c>
      <c r="B195" t="s">
        <v>2874</v>
      </c>
      <c r="C195" t="s">
        <v>231</v>
      </c>
      <c r="D195" t="s">
        <v>2983</v>
      </c>
      <c r="E195" t="s">
        <v>3178</v>
      </c>
      <c r="F195" t="s">
        <v>418</v>
      </c>
      <c r="G195" t="s">
        <v>3554</v>
      </c>
      <c r="H195" t="s">
        <v>3707</v>
      </c>
      <c r="I195" t="s">
        <v>2374</v>
      </c>
      <c r="J195" t="s">
        <v>2375</v>
      </c>
      <c r="K195" t="s">
        <v>2374</v>
      </c>
    </row>
    <row r="196" spans="1:11" x14ac:dyDescent="0.3">
      <c r="A196" t="s">
        <v>2575</v>
      </c>
      <c r="B196" t="s">
        <v>2875</v>
      </c>
      <c r="C196" t="s">
        <v>242</v>
      </c>
      <c r="D196" t="s">
        <v>2984</v>
      </c>
      <c r="E196" t="s">
        <v>3179</v>
      </c>
      <c r="F196" t="s">
        <v>3399</v>
      </c>
      <c r="G196" t="s">
        <v>515</v>
      </c>
      <c r="H196" t="s">
        <v>3374</v>
      </c>
      <c r="I196" t="s">
        <v>2374</v>
      </c>
      <c r="J196" t="s">
        <v>2375</v>
      </c>
      <c r="K196" t="s">
        <v>2375</v>
      </c>
    </row>
    <row r="197" spans="1:11" x14ac:dyDescent="0.3">
      <c r="A197" t="s">
        <v>2576</v>
      </c>
      <c r="B197" t="s">
        <v>2876</v>
      </c>
      <c r="C197" t="s">
        <v>236</v>
      </c>
      <c r="D197" t="s">
        <v>2981</v>
      </c>
      <c r="E197" t="s">
        <v>3180</v>
      </c>
      <c r="F197" t="s">
        <v>3400</v>
      </c>
      <c r="G197" t="s">
        <v>3555</v>
      </c>
      <c r="H197" t="s">
        <v>614</v>
      </c>
      <c r="I197" t="s">
        <v>2375</v>
      </c>
      <c r="J197" t="s">
        <v>2375</v>
      </c>
      <c r="K197" t="s">
        <v>2375</v>
      </c>
    </row>
    <row r="198" spans="1:11" x14ac:dyDescent="0.3">
      <c r="A198" t="s">
        <v>2577</v>
      </c>
      <c r="B198" t="s">
        <v>2877</v>
      </c>
      <c r="C198" t="s">
        <v>230</v>
      </c>
      <c r="D198" t="s">
        <v>2982</v>
      </c>
      <c r="E198" t="s">
        <v>3181</v>
      </c>
      <c r="F198" t="s">
        <v>3401</v>
      </c>
      <c r="G198" t="s">
        <v>3556</v>
      </c>
      <c r="H198" t="s">
        <v>2312</v>
      </c>
      <c r="I198" t="s">
        <v>2375</v>
      </c>
      <c r="J198" t="s">
        <v>2375</v>
      </c>
      <c r="K198" t="s">
        <v>2375</v>
      </c>
    </row>
    <row r="199" spans="1:11" x14ac:dyDescent="0.3">
      <c r="A199" t="s">
        <v>2578</v>
      </c>
      <c r="B199" t="s">
        <v>2878</v>
      </c>
      <c r="C199" t="s">
        <v>219</v>
      </c>
      <c r="D199" t="s">
        <v>2982</v>
      </c>
      <c r="E199" t="s">
        <v>3182</v>
      </c>
      <c r="F199" t="s">
        <v>3402</v>
      </c>
      <c r="G199" t="s">
        <v>2360</v>
      </c>
      <c r="H199" t="s">
        <v>3708</v>
      </c>
      <c r="I199" t="s">
        <v>2374</v>
      </c>
      <c r="J199" t="s">
        <v>2375</v>
      </c>
      <c r="K199" t="s">
        <v>2374</v>
      </c>
    </row>
    <row r="200" spans="1:11" x14ac:dyDescent="0.3">
      <c r="A200" t="s">
        <v>2579</v>
      </c>
      <c r="B200" t="s">
        <v>2879</v>
      </c>
      <c r="C200" t="s">
        <v>248</v>
      </c>
      <c r="D200" t="s">
        <v>2981</v>
      </c>
      <c r="E200" t="s">
        <v>3150</v>
      </c>
      <c r="F200" t="s">
        <v>3403</v>
      </c>
      <c r="G200" t="s">
        <v>3452</v>
      </c>
      <c r="H200" t="s">
        <v>3709</v>
      </c>
      <c r="I200" t="s">
        <v>2374</v>
      </c>
      <c r="J200" t="s">
        <v>2374</v>
      </c>
      <c r="K200" t="s">
        <v>2374</v>
      </c>
    </row>
    <row r="201" spans="1:11" x14ac:dyDescent="0.3">
      <c r="A201" t="s">
        <v>2580</v>
      </c>
      <c r="B201" t="s">
        <v>2880</v>
      </c>
      <c r="C201" t="s">
        <v>208</v>
      </c>
      <c r="D201" t="s">
        <v>2983</v>
      </c>
      <c r="E201" t="s">
        <v>3183</v>
      </c>
      <c r="F201" t="s">
        <v>2205</v>
      </c>
      <c r="G201" t="s">
        <v>3557</v>
      </c>
      <c r="H201" t="s">
        <v>3710</v>
      </c>
      <c r="I201" t="s">
        <v>2374</v>
      </c>
      <c r="J201" t="s">
        <v>2374</v>
      </c>
      <c r="K201" t="s">
        <v>2375</v>
      </c>
    </row>
    <row r="202" spans="1:11" x14ac:dyDescent="0.3">
      <c r="A202" t="s">
        <v>2581</v>
      </c>
      <c r="B202" t="s">
        <v>2881</v>
      </c>
      <c r="C202" t="s">
        <v>205</v>
      </c>
      <c r="D202" t="s">
        <v>2981</v>
      </c>
      <c r="E202" t="s">
        <v>3184</v>
      </c>
      <c r="F202" t="s">
        <v>3404</v>
      </c>
      <c r="G202" t="s">
        <v>3558</v>
      </c>
      <c r="H202" t="s">
        <v>3711</v>
      </c>
      <c r="I202" t="s">
        <v>2375</v>
      </c>
      <c r="J202" t="s">
        <v>2374</v>
      </c>
      <c r="K202" t="s">
        <v>2374</v>
      </c>
    </row>
    <row r="203" spans="1:11" x14ac:dyDescent="0.3">
      <c r="A203" t="s">
        <v>2582</v>
      </c>
      <c r="B203" t="s">
        <v>2882</v>
      </c>
      <c r="C203" t="s">
        <v>191</v>
      </c>
      <c r="D203" t="s">
        <v>2983</v>
      </c>
      <c r="E203" t="s">
        <v>3185</v>
      </c>
      <c r="F203" t="s">
        <v>3405</v>
      </c>
      <c r="G203" t="s">
        <v>3559</v>
      </c>
      <c r="H203" t="s">
        <v>3712</v>
      </c>
      <c r="I203" t="s">
        <v>2375</v>
      </c>
      <c r="J203" t="s">
        <v>2375</v>
      </c>
      <c r="K203" t="s">
        <v>2375</v>
      </c>
    </row>
    <row r="204" spans="1:11" x14ac:dyDescent="0.3">
      <c r="A204" t="s">
        <v>2583</v>
      </c>
      <c r="B204" t="s">
        <v>2883</v>
      </c>
      <c r="C204" t="s">
        <v>209</v>
      </c>
      <c r="D204" t="s">
        <v>2983</v>
      </c>
      <c r="E204" t="s">
        <v>3186</v>
      </c>
      <c r="F204" t="s">
        <v>3406</v>
      </c>
      <c r="G204" t="s">
        <v>3560</v>
      </c>
      <c r="H204" t="s">
        <v>367</v>
      </c>
      <c r="I204" t="s">
        <v>2374</v>
      </c>
      <c r="J204" t="s">
        <v>2374</v>
      </c>
      <c r="K204" t="s">
        <v>2374</v>
      </c>
    </row>
    <row r="205" spans="1:11" x14ac:dyDescent="0.3">
      <c r="A205" t="s">
        <v>2584</v>
      </c>
      <c r="B205" t="s">
        <v>2884</v>
      </c>
      <c r="C205" t="s">
        <v>193</v>
      </c>
      <c r="D205" t="s">
        <v>2984</v>
      </c>
      <c r="E205" t="s">
        <v>3187</v>
      </c>
      <c r="F205" t="s">
        <v>3407</v>
      </c>
      <c r="G205" t="s">
        <v>3561</v>
      </c>
      <c r="H205" t="s">
        <v>3713</v>
      </c>
      <c r="I205" t="s">
        <v>2374</v>
      </c>
      <c r="J205" t="s">
        <v>2375</v>
      </c>
      <c r="K205" t="s">
        <v>2375</v>
      </c>
    </row>
    <row r="206" spans="1:11" x14ac:dyDescent="0.3">
      <c r="A206" t="s">
        <v>2585</v>
      </c>
      <c r="B206" t="s">
        <v>2885</v>
      </c>
      <c r="C206" t="s">
        <v>198</v>
      </c>
      <c r="D206" t="s">
        <v>2983</v>
      </c>
      <c r="E206" t="s">
        <v>3188</v>
      </c>
      <c r="F206" t="s">
        <v>444</v>
      </c>
      <c r="G206" t="s">
        <v>629</v>
      </c>
      <c r="H206" t="s">
        <v>2035</v>
      </c>
      <c r="I206" t="s">
        <v>2374</v>
      </c>
      <c r="J206" t="s">
        <v>2375</v>
      </c>
      <c r="K206" t="s">
        <v>2375</v>
      </c>
    </row>
    <row r="207" spans="1:11" x14ac:dyDescent="0.3">
      <c r="A207" t="s">
        <v>2586</v>
      </c>
      <c r="B207" t="s">
        <v>2886</v>
      </c>
      <c r="C207" t="s">
        <v>242</v>
      </c>
      <c r="D207" t="s">
        <v>2981</v>
      </c>
      <c r="E207" t="s">
        <v>3189</v>
      </c>
      <c r="F207" t="s">
        <v>3408</v>
      </c>
      <c r="G207" t="s">
        <v>3518</v>
      </c>
      <c r="H207" t="s">
        <v>3714</v>
      </c>
      <c r="I207" t="s">
        <v>2375</v>
      </c>
      <c r="J207" t="s">
        <v>2374</v>
      </c>
      <c r="K207" t="s">
        <v>2375</v>
      </c>
    </row>
    <row r="208" spans="1:11" x14ac:dyDescent="0.3">
      <c r="A208" t="s">
        <v>2587</v>
      </c>
      <c r="B208" t="s">
        <v>2887</v>
      </c>
      <c r="C208" t="s">
        <v>197</v>
      </c>
      <c r="D208" t="s">
        <v>2982</v>
      </c>
      <c r="E208" t="s">
        <v>3190</v>
      </c>
      <c r="F208" t="s">
        <v>3409</v>
      </c>
      <c r="G208" t="s">
        <v>387</v>
      </c>
      <c r="H208" t="s">
        <v>3616</v>
      </c>
      <c r="I208" t="s">
        <v>2375</v>
      </c>
      <c r="J208" t="s">
        <v>2375</v>
      </c>
      <c r="K208" t="s">
        <v>2375</v>
      </c>
    </row>
    <row r="209" spans="1:11" x14ac:dyDescent="0.3">
      <c r="A209" t="s">
        <v>2588</v>
      </c>
      <c r="B209" t="s">
        <v>2888</v>
      </c>
      <c r="C209" t="s">
        <v>190</v>
      </c>
      <c r="D209" t="s">
        <v>2981</v>
      </c>
      <c r="E209" t="s">
        <v>3191</v>
      </c>
      <c r="F209" t="s">
        <v>3410</v>
      </c>
      <c r="G209" t="s">
        <v>3562</v>
      </c>
      <c r="H209" t="s">
        <v>3652</v>
      </c>
      <c r="I209" t="s">
        <v>2375</v>
      </c>
      <c r="J209" t="s">
        <v>2374</v>
      </c>
      <c r="K209" t="s">
        <v>2374</v>
      </c>
    </row>
    <row r="210" spans="1:11" x14ac:dyDescent="0.3">
      <c r="A210" t="s">
        <v>2589</v>
      </c>
      <c r="B210" t="s">
        <v>2889</v>
      </c>
      <c r="C210" t="s">
        <v>230</v>
      </c>
      <c r="D210" t="s">
        <v>2982</v>
      </c>
      <c r="E210" t="s">
        <v>3192</v>
      </c>
      <c r="F210" t="s">
        <v>3411</v>
      </c>
      <c r="G210" t="s">
        <v>3563</v>
      </c>
      <c r="H210" t="s">
        <v>416</v>
      </c>
      <c r="I210" t="s">
        <v>2374</v>
      </c>
      <c r="J210" t="s">
        <v>2375</v>
      </c>
      <c r="K210" t="s">
        <v>2375</v>
      </c>
    </row>
    <row r="211" spans="1:11" x14ac:dyDescent="0.3">
      <c r="A211" t="s">
        <v>2590</v>
      </c>
      <c r="B211" t="s">
        <v>2890</v>
      </c>
      <c r="C211" t="s">
        <v>213</v>
      </c>
      <c r="D211" t="s">
        <v>2981</v>
      </c>
      <c r="E211" t="s">
        <v>3193</v>
      </c>
      <c r="F211" t="s">
        <v>3412</v>
      </c>
      <c r="G211" t="s">
        <v>2277</v>
      </c>
      <c r="H211" t="s">
        <v>3715</v>
      </c>
      <c r="I211" t="s">
        <v>2374</v>
      </c>
      <c r="J211" t="s">
        <v>2374</v>
      </c>
      <c r="K211" t="s">
        <v>2375</v>
      </c>
    </row>
    <row r="212" spans="1:11" x14ac:dyDescent="0.3">
      <c r="A212" t="s">
        <v>2591</v>
      </c>
      <c r="B212" t="s">
        <v>2891</v>
      </c>
      <c r="C212" t="s">
        <v>193</v>
      </c>
      <c r="D212" t="s">
        <v>2981</v>
      </c>
      <c r="E212" t="s">
        <v>3194</v>
      </c>
      <c r="F212" t="s">
        <v>363</v>
      </c>
      <c r="G212" t="s">
        <v>3564</v>
      </c>
      <c r="H212" t="s">
        <v>3408</v>
      </c>
      <c r="I212" t="s">
        <v>2375</v>
      </c>
      <c r="J212" t="s">
        <v>2374</v>
      </c>
      <c r="K212" t="s">
        <v>2374</v>
      </c>
    </row>
    <row r="213" spans="1:11" x14ac:dyDescent="0.3">
      <c r="A213" t="s">
        <v>2592</v>
      </c>
      <c r="B213" t="s">
        <v>2892</v>
      </c>
      <c r="C213" t="s">
        <v>191</v>
      </c>
      <c r="D213" t="s">
        <v>2982</v>
      </c>
      <c r="E213" t="s">
        <v>3195</v>
      </c>
      <c r="F213" t="s">
        <v>527</v>
      </c>
      <c r="G213" t="s">
        <v>3565</v>
      </c>
      <c r="H213" t="s">
        <v>486</v>
      </c>
      <c r="I213" t="s">
        <v>2375</v>
      </c>
      <c r="J213" t="s">
        <v>2374</v>
      </c>
      <c r="K213" t="s">
        <v>2374</v>
      </c>
    </row>
    <row r="214" spans="1:11" x14ac:dyDescent="0.3">
      <c r="A214" t="s">
        <v>2593</v>
      </c>
      <c r="B214" t="s">
        <v>2893</v>
      </c>
      <c r="C214" t="s">
        <v>231</v>
      </c>
      <c r="D214" t="s">
        <v>2981</v>
      </c>
      <c r="E214" t="s">
        <v>3196</v>
      </c>
      <c r="F214" t="s">
        <v>3413</v>
      </c>
      <c r="G214" t="s">
        <v>2252</v>
      </c>
      <c r="H214" t="s">
        <v>3716</v>
      </c>
      <c r="I214" t="s">
        <v>2375</v>
      </c>
      <c r="J214" t="s">
        <v>2375</v>
      </c>
      <c r="K214" t="s">
        <v>2375</v>
      </c>
    </row>
    <row r="215" spans="1:11" x14ac:dyDescent="0.3">
      <c r="A215" t="s">
        <v>2594</v>
      </c>
      <c r="B215" t="s">
        <v>2894</v>
      </c>
      <c r="C215" t="s">
        <v>249</v>
      </c>
      <c r="D215" t="s">
        <v>2982</v>
      </c>
      <c r="E215" t="s">
        <v>3197</v>
      </c>
      <c r="F215" t="s">
        <v>3414</v>
      </c>
      <c r="G215" t="s">
        <v>3566</v>
      </c>
      <c r="H215" t="s">
        <v>2315</v>
      </c>
      <c r="I215" t="s">
        <v>2375</v>
      </c>
      <c r="J215" t="s">
        <v>2374</v>
      </c>
      <c r="K215" t="s">
        <v>2375</v>
      </c>
    </row>
    <row r="216" spans="1:11" x14ac:dyDescent="0.3">
      <c r="A216" t="s">
        <v>2595</v>
      </c>
      <c r="B216" t="s">
        <v>2895</v>
      </c>
      <c r="C216" t="s">
        <v>202</v>
      </c>
      <c r="D216" t="s">
        <v>2983</v>
      </c>
      <c r="E216" t="s">
        <v>3198</v>
      </c>
      <c r="F216" t="s">
        <v>3415</v>
      </c>
      <c r="G216" t="s">
        <v>3567</v>
      </c>
      <c r="H216" t="s">
        <v>404</v>
      </c>
      <c r="I216" t="s">
        <v>2375</v>
      </c>
      <c r="J216" t="s">
        <v>2375</v>
      </c>
      <c r="K216" t="s">
        <v>2375</v>
      </c>
    </row>
    <row r="217" spans="1:11" x14ac:dyDescent="0.3">
      <c r="A217" t="s">
        <v>2596</v>
      </c>
      <c r="B217" t="s">
        <v>2896</v>
      </c>
      <c r="C217" t="s">
        <v>218</v>
      </c>
      <c r="D217" t="s">
        <v>2983</v>
      </c>
      <c r="E217" t="s">
        <v>3199</v>
      </c>
      <c r="F217" t="s">
        <v>585</v>
      </c>
      <c r="G217" t="s">
        <v>1908</v>
      </c>
      <c r="H217" t="s">
        <v>676</v>
      </c>
      <c r="I217" t="s">
        <v>2374</v>
      </c>
      <c r="J217" t="s">
        <v>2374</v>
      </c>
      <c r="K217" t="s">
        <v>2374</v>
      </c>
    </row>
    <row r="218" spans="1:11" x14ac:dyDescent="0.3">
      <c r="A218" t="s">
        <v>2597</v>
      </c>
      <c r="B218" t="s">
        <v>2897</v>
      </c>
      <c r="C218" t="s">
        <v>216</v>
      </c>
      <c r="D218" t="s">
        <v>2984</v>
      </c>
      <c r="E218" t="s">
        <v>3200</v>
      </c>
      <c r="F218" t="s">
        <v>260</v>
      </c>
      <c r="G218" t="s">
        <v>1949</v>
      </c>
      <c r="H218" t="s">
        <v>2026</v>
      </c>
      <c r="I218" t="s">
        <v>2374</v>
      </c>
      <c r="J218" t="s">
        <v>2375</v>
      </c>
      <c r="K218" t="s">
        <v>2375</v>
      </c>
    </row>
    <row r="219" spans="1:11" x14ac:dyDescent="0.3">
      <c r="A219" t="s">
        <v>2598</v>
      </c>
      <c r="B219" t="s">
        <v>2898</v>
      </c>
      <c r="C219" t="s">
        <v>202</v>
      </c>
      <c r="D219" t="s">
        <v>2983</v>
      </c>
      <c r="E219" t="s">
        <v>3201</v>
      </c>
      <c r="F219" t="s">
        <v>3416</v>
      </c>
      <c r="G219" t="s">
        <v>534</v>
      </c>
      <c r="H219" t="s">
        <v>569</v>
      </c>
      <c r="I219" t="s">
        <v>2375</v>
      </c>
      <c r="J219" t="s">
        <v>2375</v>
      </c>
      <c r="K219" t="s">
        <v>2375</v>
      </c>
    </row>
    <row r="220" spans="1:11" x14ac:dyDescent="0.3">
      <c r="A220" t="s">
        <v>2599</v>
      </c>
      <c r="B220" t="s">
        <v>2899</v>
      </c>
      <c r="C220" t="s">
        <v>235</v>
      </c>
      <c r="D220" t="s">
        <v>2984</v>
      </c>
      <c r="E220" t="s">
        <v>3202</v>
      </c>
      <c r="F220" t="s">
        <v>3417</v>
      </c>
      <c r="G220" t="s">
        <v>3568</v>
      </c>
      <c r="H220" t="s">
        <v>465</v>
      </c>
      <c r="I220" t="s">
        <v>2374</v>
      </c>
      <c r="J220" t="s">
        <v>2375</v>
      </c>
      <c r="K220" t="s">
        <v>2375</v>
      </c>
    </row>
    <row r="221" spans="1:11" x14ac:dyDescent="0.3">
      <c r="A221" t="s">
        <v>2600</v>
      </c>
      <c r="B221" t="s">
        <v>2900</v>
      </c>
      <c r="C221" t="s">
        <v>235</v>
      </c>
      <c r="D221" t="s">
        <v>2984</v>
      </c>
      <c r="E221" t="s">
        <v>3203</v>
      </c>
      <c r="F221" t="s">
        <v>3330</v>
      </c>
      <c r="G221" t="s">
        <v>391</v>
      </c>
      <c r="H221" t="s">
        <v>359</v>
      </c>
      <c r="I221" t="s">
        <v>2375</v>
      </c>
      <c r="J221" t="s">
        <v>2374</v>
      </c>
      <c r="K221" t="s">
        <v>2375</v>
      </c>
    </row>
    <row r="222" spans="1:11" x14ac:dyDescent="0.3">
      <c r="A222" t="s">
        <v>2601</v>
      </c>
      <c r="B222" t="s">
        <v>2901</v>
      </c>
      <c r="C222" t="s">
        <v>239</v>
      </c>
      <c r="D222" t="s">
        <v>2982</v>
      </c>
      <c r="E222" t="s">
        <v>3204</v>
      </c>
      <c r="F222" t="s">
        <v>3362</v>
      </c>
      <c r="G222" t="s">
        <v>3569</v>
      </c>
      <c r="H222" t="s">
        <v>3623</v>
      </c>
      <c r="I222" t="s">
        <v>2374</v>
      </c>
      <c r="J222" t="s">
        <v>2374</v>
      </c>
      <c r="K222" t="s">
        <v>2374</v>
      </c>
    </row>
    <row r="223" spans="1:11" x14ac:dyDescent="0.3">
      <c r="A223" t="s">
        <v>2602</v>
      </c>
      <c r="B223" t="s">
        <v>2902</v>
      </c>
      <c r="C223" t="s">
        <v>235</v>
      </c>
      <c r="D223" t="s">
        <v>2982</v>
      </c>
      <c r="E223" t="s">
        <v>3205</v>
      </c>
      <c r="F223" t="s">
        <v>3418</v>
      </c>
      <c r="G223" t="s">
        <v>579</v>
      </c>
      <c r="H223" t="s">
        <v>3717</v>
      </c>
      <c r="I223" t="s">
        <v>2374</v>
      </c>
      <c r="J223" t="s">
        <v>2374</v>
      </c>
      <c r="K223" t="s">
        <v>2375</v>
      </c>
    </row>
    <row r="224" spans="1:11" x14ac:dyDescent="0.3">
      <c r="A224" t="s">
        <v>2603</v>
      </c>
      <c r="B224" t="s">
        <v>2903</v>
      </c>
      <c r="C224" t="s">
        <v>230</v>
      </c>
      <c r="D224" t="s">
        <v>2984</v>
      </c>
      <c r="E224" t="s">
        <v>3206</v>
      </c>
      <c r="F224" t="s">
        <v>281</v>
      </c>
      <c r="G224" t="s">
        <v>2143</v>
      </c>
      <c r="H224" t="s">
        <v>2368</v>
      </c>
      <c r="I224" t="s">
        <v>2374</v>
      </c>
      <c r="J224" t="s">
        <v>2375</v>
      </c>
      <c r="K224" t="s">
        <v>2375</v>
      </c>
    </row>
    <row r="225" spans="1:11" x14ac:dyDescent="0.3">
      <c r="A225" t="s">
        <v>2604</v>
      </c>
      <c r="B225" t="s">
        <v>2904</v>
      </c>
      <c r="C225" t="s">
        <v>224</v>
      </c>
      <c r="D225" t="s">
        <v>2982</v>
      </c>
      <c r="E225" t="s">
        <v>3207</v>
      </c>
      <c r="F225" t="s">
        <v>2285</v>
      </c>
      <c r="G225" t="s">
        <v>1933</v>
      </c>
      <c r="H225" t="s">
        <v>417</v>
      </c>
      <c r="I225" t="s">
        <v>2374</v>
      </c>
      <c r="J225" t="s">
        <v>2374</v>
      </c>
      <c r="K225" t="s">
        <v>2374</v>
      </c>
    </row>
    <row r="226" spans="1:11" x14ac:dyDescent="0.3">
      <c r="A226" t="s">
        <v>2605</v>
      </c>
      <c r="B226" t="s">
        <v>2905</v>
      </c>
      <c r="C226" t="s">
        <v>194</v>
      </c>
      <c r="D226" t="s">
        <v>2984</v>
      </c>
      <c r="E226" t="s">
        <v>3208</v>
      </c>
      <c r="F226" t="s">
        <v>2031</v>
      </c>
      <c r="G226" t="s">
        <v>3570</v>
      </c>
      <c r="H226" t="s">
        <v>3718</v>
      </c>
      <c r="I226" t="s">
        <v>2374</v>
      </c>
      <c r="J226" t="s">
        <v>2374</v>
      </c>
      <c r="K226" t="s">
        <v>2374</v>
      </c>
    </row>
    <row r="227" spans="1:11" x14ac:dyDescent="0.3">
      <c r="A227" t="s">
        <v>2606</v>
      </c>
      <c r="B227" t="s">
        <v>2906</v>
      </c>
      <c r="C227" t="s">
        <v>232</v>
      </c>
      <c r="D227" t="s">
        <v>2984</v>
      </c>
      <c r="E227" t="s">
        <v>3209</v>
      </c>
      <c r="F227" t="s">
        <v>395</v>
      </c>
      <c r="G227" t="s">
        <v>3571</v>
      </c>
      <c r="H227" t="s">
        <v>3719</v>
      </c>
      <c r="I227" t="s">
        <v>2374</v>
      </c>
      <c r="J227" t="s">
        <v>2374</v>
      </c>
      <c r="K227" t="s">
        <v>2375</v>
      </c>
    </row>
    <row r="228" spans="1:11" x14ac:dyDescent="0.3">
      <c r="A228" t="s">
        <v>2607</v>
      </c>
      <c r="B228" t="s">
        <v>2907</v>
      </c>
      <c r="C228" t="s">
        <v>192</v>
      </c>
      <c r="D228" t="s">
        <v>2984</v>
      </c>
      <c r="E228" t="s">
        <v>3210</v>
      </c>
      <c r="F228" t="s">
        <v>3419</v>
      </c>
      <c r="G228" t="s">
        <v>362</v>
      </c>
      <c r="H228" t="s">
        <v>3720</v>
      </c>
      <c r="I228" t="s">
        <v>2375</v>
      </c>
      <c r="J228" t="s">
        <v>2375</v>
      </c>
      <c r="K228" t="s">
        <v>2374</v>
      </c>
    </row>
    <row r="229" spans="1:11" x14ac:dyDescent="0.3">
      <c r="A229" t="s">
        <v>2608</v>
      </c>
      <c r="B229" t="s">
        <v>2908</v>
      </c>
      <c r="C229" t="s">
        <v>203</v>
      </c>
      <c r="D229" t="s">
        <v>2983</v>
      </c>
      <c r="E229" t="s">
        <v>3211</v>
      </c>
      <c r="F229" t="s">
        <v>2301</v>
      </c>
      <c r="G229" t="s">
        <v>1973</v>
      </c>
      <c r="H229" t="s">
        <v>2334</v>
      </c>
      <c r="I229" t="s">
        <v>2374</v>
      </c>
      <c r="J229" t="s">
        <v>2375</v>
      </c>
      <c r="K229" t="s">
        <v>2374</v>
      </c>
    </row>
    <row r="230" spans="1:11" x14ac:dyDescent="0.3">
      <c r="A230" t="s">
        <v>2609</v>
      </c>
      <c r="B230" t="s">
        <v>2909</v>
      </c>
      <c r="C230" t="s">
        <v>222</v>
      </c>
      <c r="D230" t="s">
        <v>2982</v>
      </c>
      <c r="E230" t="s">
        <v>3212</v>
      </c>
      <c r="F230" t="s">
        <v>539</v>
      </c>
      <c r="G230" t="s">
        <v>1977</v>
      </c>
      <c r="H230" t="s">
        <v>3721</v>
      </c>
      <c r="I230" t="s">
        <v>2374</v>
      </c>
      <c r="J230" t="s">
        <v>2375</v>
      </c>
      <c r="K230" t="s">
        <v>2374</v>
      </c>
    </row>
    <row r="231" spans="1:11" x14ac:dyDescent="0.3">
      <c r="A231" t="s">
        <v>2610</v>
      </c>
      <c r="B231" t="s">
        <v>2910</v>
      </c>
      <c r="C231" t="s">
        <v>220</v>
      </c>
      <c r="D231" t="s">
        <v>2984</v>
      </c>
      <c r="E231" t="s">
        <v>3213</v>
      </c>
      <c r="F231" t="s">
        <v>3420</v>
      </c>
      <c r="G231" t="s">
        <v>460</v>
      </c>
      <c r="H231" t="s">
        <v>3640</v>
      </c>
      <c r="I231" t="s">
        <v>2375</v>
      </c>
      <c r="J231" t="s">
        <v>2374</v>
      </c>
      <c r="K231" t="s">
        <v>2374</v>
      </c>
    </row>
    <row r="232" spans="1:11" x14ac:dyDescent="0.3">
      <c r="A232" t="s">
        <v>2611</v>
      </c>
      <c r="B232" t="s">
        <v>2911</v>
      </c>
      <c r="C232" t="s">
        <v>195</v>
      </c>
      <c r="D232" t="s">
        <v>2981</v>
      </c>
      <c r="E232" t="s">
        <v>3214</v>
      </c>
      <c r="F232" t="s">
        <v>2372</v>
      </c>
      <c r="G232" t="s">
        <v>441</v>
      </c>
      <c r="H232" t="s">
        <v>3722</v>
      </c>
      <c r="I232" t="s">
        <v>2374</v>
      </c>
      <c r="J232" t="s">
        <v>2375</v>
      </c>
      <c r="K232" t="s">
        <v>2374</v>
      </c>
    </row>
    <row r="233" spans="1:11" x14ac:dyDescent="0.3">
      <c r="A233" t="s">
        <v>2612</v>
      </c>
      <c r="B233" t="s">
        <v>2912</v>
      </c>
      <c r="C233" t="s">
        <v>196</v>
      </c>
      <c r="D233" t="s">
        <v>2982</v>
      </c>
      <c r="E233" t="s">
        <v>3215</v>
      </c>
      <c r="F233" t="s">
        <v>3421</v>
      </c>
      <c r="G233" t="s">
        <v>490</v>
      </c>
      <c r="H233" t="s">
        <v>3651</v>
      </c>
      <c r="I233" t="s">
        <v>2374</v>
      </c>
      <c r="J233" t="s">
        <v>2375</v>
      </c>
      <c r="K233" t="s">
        <v>2374</v>
      </c>
    </row>
    <row r="234" spans="1:11" x14ac:dyDescent="0.3">
      <c r="A234" t="s">
        <v>2613</v>
      </c>
      <c r="B234" t="s">
        <v>2913</v>
      </c>
      <c r="C234" t="s">
        <v>233</v>
      </c>
      <c r="D234" t="s">
        <v>2982</v>
      </c>
      <c r="E234" t="s">
        <v>3216</v>
      </c>
      <c r="F234" t="s">
        <v>3422</v>
      </c>
      <c r="G234" t="s">
        <v>2273</v>
      </c>
      <c r="H234" t="s">
        <v>3723</v>
      </c>
      <c r="I234" t="s">
        <v>2375</v>
      </c>
      <c r="J234" t="s">
        <v>2375</v>
      </c>
      <c r="K234" t="s">
        <v>2375</v>
      </c>
    </row>
    <row r="235" spans="1:11" x14ac:dyDescent="0.3">
      <c r="A235" t="s">
        <v>2614</v>
      </c>
      <c r="B235" t="s">
        <v>2914</v>
      </c>
      <c r="C235" t="s">
        <v>191</v>
      </c>
      <c r="D235" t="s">
        <v>2984</v>
      </c>
      <c r="E235" t="s">
        <v>3217</v>
      </c>
      <c r="F235" t="s">
        <v>414</v>
      </c>
      <c r="G235" t="s">
        <v>3572</v>
      </c>
      <c r="H235" t="s">
        <v>3724</v>
      </c>
      <c r="I235" t="s">
        <v>2374</v>
      </c>
      <c r="J235" t="s">
        <v>2375</v>
      </c>
      <c r="K235" t="s">
        <v>2375</v>
      </c>
    </row>
    <row r="236" spans="1:11" x14ac:dyDescent="0.3">
      <c r="A236" t="s">
        <v>2615</v>
      </c>
      <c r="B236" t="s">
        <v>2915</v>
      </c>
      <c r="C236" t="s">
        <v>219</v>
      </c>
      <c r="D236" t="s">
        <v>2984</v>
      </c>
      <c r="E236" t="s">
        <v>3218</v>
      </c>
      <c r="F236" t="s">
        <v>3423</v>
      </c>
      <c r="G236" t="s">
        <v>1911</v>
      </c>
      <c r="H236" t="s">
        <v>3725</v>
      </c>
      <c r="I236" t="s">
        <v>2375</v>
      </c>
      <c r="J236" t="s">
        <v>2374</v>
      </c>
      <c r="K236" t="s">
        <v>2375</v>
      </c>
    </row>
    <row r="237" spans="1:11" x14ac:dyDescent="0.3">
      <c r="A237" t="s">
        <v>2616</v>
      </c>
      <c r="B237" t="s">
        <v>2916</v>
      </c>
      <c r="C237" t="s">
        <v>223</v>
      </c>
      <c r="D237" t="s">
        <v>2984</v>
      </c>
      <c r="E237" t="s">
        <v>3219</v>
      </c>
      <c r="F237" t="s">
        <v>3424</v>
      </c>
      <c r="G237" t="s">
        <v>3573</v>
      </c>
      <c r="H237" t="s">
        <v>381</v>
      </c>
      <c r="I237" t="s">
        <v>2374</v>
      </c>
      <c r="J237" t="s">
        <v>2375</v>
      </c>
      <c r="K237" t="s">
        <v>2374</v>
      </c>
    </row>
    <row r="238" spans="1:11" x14ac:dyDescent="0.3">
      <c r="A238" t="s">
        <v>2617</v>
      </c>
      <c r="B238" t="s">
        <v>2917</v>
      </c>
      <c r="C238" t="s">
        <v>191</v>
      </c>
      <c r="D238" t="s">
        <v>2981</v>
      </c>
      <c r="E238" t="s">
        <v>3220</v>
      </c>
      <c r="F238" t="s">
        <v>671</v>
      </c>
      <c r="G238" t="s">
        <v>2335</v>
      </c>
      <c r="H238" t="s">
        <v>3498</v>
      </c>
      <c r="I238" t="s">
        <v>2375</v>
      </c>
      <c r="J238" t="s">
        <v>2375</v>
      </c>
      <c r="K238" t="s">
        <v>2375</v>
      </c>
    </row>
    <row r="239" spans="1:11" x14ac:dyDescent="0.3">
      <c r="A239" t="s">
        <v>2618</v>
      </c>
      <c r="B239" t="s">
        <v>2918</v>
      </c>
      <c r="C239" t="s">
        <v>193</v>
      </c>
      <c r="D239" t="s">
        <v>2983</v>
      </c>
      <c r="E239" t="s">
        <v>3221</v>
      </c>
      <c r="F239" t="s">
        <v>3425</v>
      </c>
      <c r="G239" t="s">
        <v>1847</v>
      </c>
      <c r="H239" t="s">
        <v>3726</v>
      </c>
      <c r="I239" t="s">
        <v>2374</v>
      </c>
      <c r="J239" t="s">
        <v>2375</v>
      </c>
      <c r="K239" t="s">
        <v>2374</v>
      </c>
    </row>
    <row r="240" spans="1:11" x14ac:dyDescent="0.3">
      <c r="A240" t="s">
        <v>2619</v>
      </c>
      <c r="B240" t="s">
        <v>2919</v>
      </c>
      <c r="C240" t="s">
        <v>218</v>
      </c>
      <c r="D240" t="s">
        <v>2984</v>
      </c>
      <c r="E240" t="s">
        <v>3222</v>
      </c>
      <c r="F240" t="s">
        <v>2343</v>
      </c>
      <c r="G240" t="s">
        <v>3574</v>
      </c>
      <c r="H240" t="s">
        <v>3727</v>
      </c>
      <c r="I240" t="s">
        <v>2374</v>
      </c>
      <c r="J240" t="s">
        <v>2374</v>
      </c>
      <c r="K240" t="s">
        <v>2374</v>
      </c>
    </row>
    <row r="241" spans="1:11" x14ac:dyDescent="0.3">
      <c r="A241" t="s">
        <v>2620</v>
      </c>
      <c r="B241" t="s">
        <v>2920</v>
      </c>
      <c r="C241" t="s">
        <v>212</v>
      </c>
      <c r="D241" t="s">
        <v>2983</v>
      </c>
      <c r="E241" t="s">
        <v>3223</v>
      </c>
      <c r="F241" t="s">
        <v>439</v>
      </c>
      <c r="G241" t="s">
        <v>458</v>
      </c>
      <c r="H241" t="s">
        <v>3728</v>
      </c>
      <c r="I241" t="s">
        <v>2374</v>
      </c>
      <c r="J241" t="s">
        <v>2375</v>
      </c>
      <c r="K241" t="s">
        <v>2374</v>
      </c>
    </row>
    <row r="242" spans="1:11" x14ac:dyDescent="0.3">
      <c r="A242" t="s">
        <v>2621</v>
      </c>
      <c r="B242" t="s">
        <v>2921</v>
      </c>
      <c r="C242" t="s">
        <v>239</v>
      </c>
      <c r="D242" t="s">
        <v>2983</v>
      </c>
      <c r="E242" t="s">
        <v>3224</v>
      </c>
      <c r="F242" t="s">
        <v>1739</v>
      </c>
      <c r="G242" t="s">
        <v>616</v>
      </c>
      <c r="H242" t="s">
        <v>3729</v>
      </c>
      <c r="I242" t="s">
        <v>2375</v>
      </c>
      <c r="J242" t="s">
        <v>2374</v>
      </c>
      <c r="K242" t="s">
        <v>2374</v>
      </c>
    </row>
    <row r="243" spans="1:11" x14ac:dyDescent="0.3">
      <c r="A243" t="s">
        <v>2622</v>
      </c>
      <c r="B243" t="s">
        <v>2922</v>
      </c>
      <c r="C243" t="s">
        <v>193</v>
      </c>
      <c r="D243" t="s">
        <v>2982</v>
      </c>
      <c r="E243" t="s">
        <v>3225</v>
      </c>
      <c r="F243" t="s">
        <v>3426</v>
      </c>
      <c r="G243" t="s">
        <v>3575</v>
      </c>
      <c r="H243" t="s">
        <v>552</v>
      </c>
      <c r="I243" t="s">
        <v>2374</v>
      </c>
      <c r="J243" t="s">
        <v>2375</v>
      </c>
      <c r="K243" t="s">
        <v>2374</v>
      </c>
    </row>
    <row r="244" spans="1:11" x14ac:dyDescent="0.3">
      <c r="A244" t="s">
        <v>2623</v>
      </c>
      <c r="B244" t="s">
        <v>2923</v>
      </c>
      <c r="C244" t="s">
        <v>230</v>
      </c>
      <c r="D244" t="s">
        <v>2983</v>
      </c>
      <c r="E244" t="s">
        <v>3226</v>
      </c>
      <c r="F244" t="s">
        <v>3427</v>
      </c>
      <c r="G244" t="s">
        <v>2057</v>
      </c>
      <c r="H244" t="s">
        <v>351</v>
      </c>
      <c r="I244" t="s">
        <v>2374</v>
      </c>
      <c r="J244" t="s">
        <v>2375</v>
      </c>
      <c r="K244" t="s">
        <v>2374</v>
      </c>
    </row>
    <row r="245" spans="1:11" x14ac:dyDescent="0.3">
      <c r="A245" t="s">
        <v>2624</v>
      </c>
      <c r="B245" t="s">
        <v>2924</v>
      </c>
      <c r="C245" t="s">
        <v>208</v>
      </c>
      <c r="D245" t="s">
        <v>2983</v>
      </c>
      <c r="E245" t="s">
        <v>3227</v>
      </c>
      <c r="F245" t="s">
        <v>3428</v>
      </c>
      <c r="G245" t="s">
        <v>3576</v>
      </c>
      <c r="H245" t="s">
        <v>1833</v>
      </c>
      <c r="I245" t="s">
        <v>2375</v>
      </c>
      <c r="J245" t="s">
        <v>2375</v>
      </c>
      <c r="K245" t="s">
        <v>2374</v>
      </c>
    </row>
    <row r="246" spans="1:11" x14ac:dyDescent="0.3">
      <c r="A246" t="s">
        <v>2625</v>
      </c>
      <c r="B246" t="s">
        <v>2925</v>
      </c>
      <c r="C246" t="s">
        <v>223</v>
      </c>
      <c r="D246" t="s">
        <v>2984</v>
      </c>
      <c r="E246" t="s">
        <v>3228</v>
      </c>
      <c r="F246" t="s">
        <v>3429</v>
      </c>
      <c r="G246" t="s">
        <v>3577</v>
      </c>
      <c r="H246" t="s">
        <v>3730</v>
      </c>
      <c r="I246" t="s">
        <v>2375</v>
      </c>
      <c r="J246" t="s">
        <v>2375</v>
      </c>
      <c r="K246" t="s">
        <v>2374</v>
      </c>
    </row>
    <row r="247" spans="1:11" x14ac:dyDescent="0.3">
      <c r="A247" t="s">
        <v>2626</v>
      </c>
      <c r="B247" t="s">
        <v>2926</v>
      </c>
      <c r="C247" t="s">
        <v>225</v>
      </c>
      <c r="D247" t="s">
        <v>2981</v>
      </c>
      <c r="E247" t="s">
        <v>3229</v>
      </c>
      <c r="F247" t="s">
        <v>3430</v>
      </c>
      <c r="G247" t="s">
        <v>3578</v>
      </c>
      <c r="H247" t="s">
        <v>633</v>
      </c>
      <c r="I247" t="s">
        <v>2375</v>
      </c>
      <c r="J247" t="s">
        <v>2374</v>
      </c>
      <c r="K247" t="s">
        <v>2374</v>
      </c>
    </row>
    <row r="248" spans="1:11" x14ac:dyDescent="0.3">
      <c r="A248" t="s">
        <v>2627</v>
      </c>
      <c r="B248" t="s">
        <v>2927</v>
      </c>
      <c r="C248" t="s">
        <v>225</v>
      </c>
      <c r="D248" t="s">
        <v>2984</v>
      </c>
      <c r="E248" t="s">
        <v>3230</v>
      </c>
      <c r="F248" t="s">
        <v>3431</v>
      </c>
      <c r="G248" t="s">
        <v>353</v>
      </c>
      <c r="H248" t="s">
        <v>491</v>
      </c>
      <c r="I248" t="s">
        <v>2374</v>
      </c>
      <c r="J248" t="s">
        <v>2374</v>
      </c>
      <c r="K248" t="s">
        <v>2374</v>
      </c>
    </row>
    <row r="249" spans="1:11" x14ac:dyDescent="0.3">
      <c r="A249" t="s">
        <v>2628</v>
      </c>
      <c r="B249" t="s">
        <v>2928</v>
      </c>
      <c r="C249" t="s">
        <v>230</v>
      </c>
      <c r="D249" t="s">
        <v>2981</v>
      </c>
      <c r="E249" t="s">
        <v>3231</v>
      </c>
      <c r="F249" t="s">
        <v>3432</v>
      </c>
      <c r="G249" t="s">
        <v>448</v>
      </c>
      <c r="H249" t="s">
        <v>3556</v>
      </c>
      <c r="I249" t="s">
        <v>2374</v>
      </c>
      <c r="J249" t="s">
        <v>2374</v>
      </c>
      <c r="K249" t="s">
        <v>2374</v>
      </c>
    </row>
    <row r="250" spans="1:11" x14ac:dyDescent="0.3">
      <c r="A250" t="s">
        <v>2629</v>
      </c>
      <c r="B250" t="s">
        <v>2929</v>
      </c>
      <c r="C250" t="s">
        <v>196</v>
      </c>
      <c r="D250" t="s">
        <v>2984</v>
      </c>
      <c r="E250" t="s">
        <v>3232</v>
      </c>
      <c r="F250" t="s">
        <v>3433</v>
      </c>
      <c r="G250" t="s">
        <v>3579</v>
      </c>
      <c r="H250" t="s">
        <v>3731</v>
      </c>
      <c r="I250" t="s">
        <v>2374</v>
      </c>
      <c r="J250" t="s">
        <v>2374</v>
      </c>
      <c r="K250" t="s">
        <v>2374</v>
      </c>
    </row>
    <row r="251" spans="1:11" x14ac:dyDescent="0.3">
      <c r="A251" t="s">
        <v>2630</v>
      </c>
      <c r="B251" t="s">
        <v>2930</v>
      </c>
      <c r="C251" t="s">
        <v>198</v>
      </c>
      <c r="D251" t="s">
        <v>2982</v>
      </c>
      <c r="E251" t="s">
        <v>3233</v>
      </c>
      <c r="F251" t="s">
        <v>345</v>
      </c>
      <c r="G251" t="s">
        <v>326</v>
      </c>
      <c r="H251" t="s">
        <v>3427</v>
      </c>
      <c r="I251" t="s">
        <v>2374</v>
      </c>
      <c r="J251" t="s">
        <v>2375</v>
      </c>
      <c r="K251" t="s">
        <v>2374</v>
      </c>
    </row>
    <row r="252" spans="1:11" x14ac:dyDescent="0.3">
      <c r="A252" t="s">
        <v>2631</v>
      </c>
      <c r="B252" t="s">
        <v>2931</v>
      </c>
      <c r="C252" t="s">
        <v>237</v>
      </c>
      <c r="D252" t="s">
        <v>2984</v>
      </c>
      <c r="E252" t="s">
        <v>3234</v>
      </c>
      <c r="F252" t="s">
        <v>647</v>
      </c>
      <c r="G252" t="s">
        <v>3580</v>
      </c>
      <c r="H252" t="s">
        <v>3732</v>
      </c>
      <c r="I252" t="s">
        <v>2374</v>
      </c>
      <c r="J252" t="s">
        <v>2374</v>
      </c>
      <c r="K252" t="s">
        <v>2374</v>
      </c>
    </row>
    <row r="253" spans="1:11" x14ac:dyDescent="0.3">
      <c r="A253" t="s">
        <v>2632</v>
      </c>
      <c r="B253" t="s">
        <v>2932</v>
      </c>
      <c r="C253" t="s">
        <v>225</v>
      </c>
      <c r="D253" t="s">
        <v>2983</v>
      </c>
      <c r="E253" t="s">
        <v>3235</v>
      </c>
      <c r="F253" t="s">
        <v>3434</v>
      </c>
      <c r="G253" t="s">
        <v>2029</v>
      </c>
      <c r="H253" t="s">
        <v>3520</v>
      </c>
      <c r="I253" t="s">
        <v>2374</v>
      </c>
      <c r="J253" t="s">
        <v>2375</v>
      </c>
      <c r="K253" t="s">
        <v>2374</v>
      </c>
    </row>
    <row r="254" spans="1:11" x14ac:dyDescent="0.3">
      <c r="A254" t="s">
        <v>2633</v>
      </c>
      <c r="B254" t="s">
        <v>2933</v>
      </c>
      <c r="C254" t="s">
        <v>221</v>
      </c>
      <c r="D254" t="s">
        <v>2984</v>
      </c>
      <c r="E254" t="s">
        <v>3236</v>
      </c>
      <c r="F254" t="s">
        <v>1846</v>
      </c>
      <c r="G254" t="s">
        <v>648</v>
      </c>
      <c r="H254" t="s">
        <v>3733</v>
      </c>
      <c r="I254" t="s">
        <v>2374</v>
      </c>
      <c r="J254" t="s">
        <v>2374</v>
      </c>
      <c r="K254" t="s">
        <v>2374</v>
      </c>
    </row>
    <row r="255" spans="1:11" x14ac:dyDescent="0.3">
      <c r="A255" t="s">
        <v>2634</v>
      </c>
      <c r="B255" t="s">
        <v>2934</v>
      </c>
      <c r="C255" t="s">
        <v>194</v>
      </c>
      <c r="D255" t="s">
        <v>2984</v>
      </c>
      <c r="E255" t="s">
        <v>3237</v>
      </c>
      <c r="F255" t="s">
        <v>3435</v>
      </c>
      <c r="G255" t="s">
        <v>3581</v>
      </c>
      <c r="H255" t="s">
        <v>3317</v>
      </c>
      <c r="I255" t="s">
        <v>2374</v>
      </c>
      <c r="J255" t="s">
        <v>2375</v>
      </c>
      <c r="K255" t="s">
        <v>2374</v>
      </c>
    </row>
    <row r="256" spans="1:11" x14ac:dyDescent="0.3">
      <c r="A256" t="s">
        <v>2635</v>
      </c>
      <c r="B256" t="s">
        <v>2935</v>
      </c>
      <c r="C256" t="s">
        <v>216</v>
      </c>
      <c r="D256" t="s">
        <v>2983</v>
      </c>
      <c r="E256" t="s">
        <v>3238</v>
      </c>
      <c r="F256" t="s">
        <v>3436</v>
      </c>
      <c r="G256" t="s">
        <v>3582</v>
      </c>
      <c r="H256" t="s">
        <v>3556</v>
      </c>
      <c r="I256" t="s">
        <v>2374</v>
      </c>
      <c r="J256" t="s">
        <v>2375</v>
      </c>
      <c r="K256" t="s">
        <v>2374</v>
      </c>
    </row>
    <row r="257" spans="1:11" x14ac:dyDescent="0.3">
      <c r="A257" t="s">
        <v>2636</v>
      </c>
      <c r="B257" t="s">
        <v>2936</v>
      </c>
      <c r="C257" t="s">
        <v>202</v>
      </c>
      <c r="D257" t="s">
        <v>2984</v>
      </c>
      <c r="E257" t="s">
        <v>3239</v>
      </c>
      <c r="F257" t="s">
        <v>3437</v>
      </c>
      <c r="G257" t="s">
        <v>3583</v>
      </c>
      <c r="H257" t="s">
        <v>3734</v>
      </c>
      <c r="I257" t="s">
        <v>2374</v>
      </c>
      <c r="J257" t="s">
        <v>2375</v>
      </c>
      <c r="K257" t="s">
        <v>2374</v>
      </c>
    </row>
    <row r="258" spans="1:11" x14ac:dyDescent="0.3">
      <c r="A258" t="s">
        <v>2637</v>
      </c>
      <c r="B258" t="s">
        <v>2937</v>
      </c>
      <c r="C258" t="s">
        <v>225</v>
      </c>
      <c r="D258" t="s">
        <v>2983</v>
      </c>
      <c r="E258" t="s">
        <v>3240</v>
      </c>
      <c r="F258" t="s">
        <v>3438</v>
      </c>
      <c r="G258" t="s">
        <v>3584</v>
      </c>
      <c r="H258" t="s">
        <v>271</v>
      </c>
      <c r="I258" t="s">
        <v>2374</v>
      </c>
      <c r="J258" t="s">
        <v>2375</v>
      </c>
      <c r="K258" t="s">
        <v>2374</v>
      </c>
    </row>
    <row r="259" spans="1:11" x14ac:dyDescent="0.3">
      <c r="A259" t="s">
        <v>2638</v>
      </c>
      <c r="B259" t="s">
        <v>2938</v>
      </c>
      <c r="C259" t="s">
        <v>213</v>
      </c>
      <c r="D259" t="s">
        <v>2981</v>
      </c>
      <c r="E259" t="s">
        <v>3241</v>
      </c>
      <c r="F259" t="s">
        <v>3439</v>
      </c>
      <c r="G259" t="s">
        <v>1773</v>
      </c>
      <c r="H259" t="s">
        <v>3735</v>
      </c>
      <c r="I259" t="s">
        <v>2374</v>
      </c>
      <c r="J259" t="s">
        <v>2374</v>
      </c>
      <c r="K259" t="s">
        <v>2374</v>
      </c>
    </row>
    <row r="260" spans="1:11" x14ac:dyDescent="0.3">
      <c r="A260" t="s">
        <v>2639</v>
      </c>
      <c r="B260" t="s">
        <v>2939</v>
      </c>
      <c r="C260" t="s">
        <v>197</v>
      </c>
      <c r="D260" t="s">
        <v>2983</v>
      </c>
      <c r="E260" t="s">
        <v>3242</v>
      </c>
      <c r="F260" t="s">
        <v>3440</v>
      </c>
      <c r="G260" t="s">
        <v>1745</v>
      </c>
      <c r="H260" t="s">
        <v>358</v>
      </c>
      <c r="I260" t="s">
        <v>2374</v>
      </c>
      <c r="J260" t="s">
        <v>2374</v>
      </c>
      <c r="K260" t="s">
        <v>2374</v>
      </c>
    </row>
    <row r="261" spans="1:11" x14ac:dyDescent="0.3">
      <c r="A261" t="s">
        <v>2640</v>
      </c>
      <c r="B261" t="s">
        <v>2940</v>
      </c>
      <c r="C261" t="s">
        <v>191</v>
      </c>
      <c r="D261" t="s">
        <v>2983</v>
      </c>
      <c r="E261" t="s">
        <v>3243</v>
      </c>
      <c r="F261" t="s">
        <v>291</v>
      </c>
      <c r="G261" t="s">
        <v>2244</v>
      </c>
      <c r="H261" t="s">
        <v>665</v>
      </c>
      <c r="I261" t="s">
        <v>2374</v>
      </c>
      <c r="J261" t="s">
        <v>2374</v>
      </c>
      <c r="K261" t="s">
        <v>2374</v>
      </c>
    </row>
    <row r="262" spans="1:11" x14ac:dyDescent="0.3">
      <c r="A262" t="s">
        <v>2641</v>
      </c>
      <c r="B262" t="s">
        <v>2941</v>
      </c>
      <c r="C262" t="s">
        <v>242</v>
      </c>
      <c r="D262" t="s">
        <v>2983</v>
      </c>
      <c r="E262" t="s">
        <v>3244</v>
      </c>
      <c r="F262" t="s">
        <v>3441</v>
      </c>
      <c r="G262" t="s">
        <v>430</v>
      </c>
      <c r="H262" t="s">
        <v>505</v>
      </c>
      <c r="I262" t="s">
        <v>2374</v>
      </c>
      <c r="J262" t="s">
        <v>2374</v>
      </c>
      <c r="K262" t="s">
        <v>2374</v>
      </c>
    </row>
    <row r="263" spans="1:11" x14ac:dyDescent="0.3">
      <c r="A263" t="s">
        <v>2642</v>
      </c>
      <c r="B263" t="s">
        <v>2942</v>
      </c>
      <c r="C263" t="s">
        <v>227</v>
      </c>
      <c r="D263" t="s">
        <v>2981</v>
      </c>
      <c r="E263" t="s">
        <v>3245</v>
      </c>
      <c r="F263" t="s">
        <v>2347</v>
      </c>
      <c r="G263" t="s">
        <v>3585</v>
      </c>
      <c r="H263" t="s">
        <v>3736</v>
      </c>
      <c r="I263" t="s">
        <v>2374</v>
      </c>
      <c r="J263" t="s">
        <v>2374</v>
      </c>
      <c r="K263" t="s">
        <v>2374</v>
      </c>
    </row>
    <row r="264" spans="1:11" x14ac:dyDescent="0.3">
      <c r="A264" t="s">
        <v>2643</v>
      </c>
      <c r="B264" t="s">
        <v>2943</v>
      </c>
      <c r="C264" t="s">
        <v>243</v>
      </c>
      <c r="D264" t="s">
        <v>2984</v>
      </c>
      <c r="E264" t="s">
        <v>3246</v>
      </c>
      <c r="F264" t="s">
        <v>581</v>
      </c>
      <c r="G264" t="s">
        <v>3586</v>
      </c>
      <c r="H264" t="s">
        <v>1788</v>
      </c>
      <c r="I264" t="s">
        <v>2374</v>
      </c>
      <c r="J264" t="s">
        <v>2374</v>
      </c>
      <c r="K264" t="s">
        <v>2374</v>
      </c>
    </row>
    <row r="265" spans="1:11" x14ac:dyDescent="0.3">
      <c r="A265" t="s">
        <v>2644</v>
      </c>
      <c r="B265" t="s">
        <v>2944</v>
      </c>
      <c r="C265" t="s">
        <v>239</v>
      </c>
      <c r="D265" t="s">
        <v>2984</v>
      </c>
      <c r="E265" t="s">
        <v>3247</v>
      </c>
      <c r="F265" t="s">
        <v>377</v>
      </c>
      <c r="G265" t="s">
        <v>3587</v>
      </c>
      <c r="H265" t="s">
        <v>443</v>
      </c>
      <c r="I265" t="s">
        <v>2374</v>
      </c>
      <c r="J265" t="s">
        <v>2374</v>
      </c>
      <c r="K265" t="s">
        <v>2374</v>
      </c>
    </row>
    <row r="266" spans="1:11" x14ac:dyDescent="0.3">
      <c r="A266" t="s">
        <v>2645</v>
      </c>
      <c r="B266" t="s">
        <v>2945</v>
      </c>
      <c r="C266" t="s">
        <v>200</v>
      </c>
      <c r="D266" t="s">
        <v>2981</v>
      </c>
      <c r="E266" t="s">
        <v>3248</v>
      </c>
      <c r="F266" t="s">
        <v>669</v>
      </c>
      <c r="G266" t="s">
        <v>3588</v>
      </c>
      <c r="H266" t="s">
        <v>3737</v>
      </c>
      <c r="I266" t="s">
        <v>2374</v>
      </c>
      <c r="J266" t="s">
        <v>2374</v>
      </c>
      <c r="K266" t="s">
        <v>2374</v>
      </c>
    </row>
    <row r="267" spans="1:11" x14ac:dyDescent="0.3">
      <c r="A267" t="s">
        <v>2646</v>
      </c>
      <c r="B267" t="s">
        <v>2946</v>
      </c>
      <c r="C267" t="s">
        <v>216</v>
      </c>
      <c r="D267" t="s">
        <v>2981</v>
      </c>
      <c r="E267" t="s">
        <v>3249</v>
      </c>
      <c r="F267" t="s">
        <v>383</v>
      </c>
      <c r="G267" t="s">
        <v>580</v>
      </c>
      <c r="H267" t="s">
        <v>3738</v>
      </c>
      <c r="I267" t="s">
        <v>2374</v>
      </c>
      <c r="J267" t="s">
        <v>2374</v>
      </c>
      <c r="K267" t="s">
        <v>2374</v>
      </c>
    </row>
    <row r="268" spans="1:11" x14ac:dyDescent="0.3">
      <c r="A268" t="s">
        <v>2647</v>
      </c>
      <c r="B268" t="s">
        <v>2947</v>
      </c>
      <c r="C268" t="s">
        <v>210</v>
      </c>
      <c r="D268" t="s">
        <v>2981</v>
      </c>
      <c r="E268" t="s">
        <v>3250</v>
      </c>
      <c r="F268" t="s">
        <v>270</v>
      </c>
      <c r="G268" t="s">
        <v>3589</v>
      </c>
      <c r="H268" t="s">
        <v>3739</v>
      </c>
      <c r="I268" t="s">
        <v>2374</v>
      </c>
      <c r="J268" t="s">
        <v>2374</v>
      </c>
      <c r="K268" t="s">
        <v>2374</v>
      </c>
    </row>
    <row r="269" spans="1:11" x14ac:dyDescent="0.3">
      <c r="A269" t="s">
        <v>2648</v>
      </c>
      <c r="B269" t="s">
        <v>2948</v>
      </c>
      <c r="C269" t="s">
        <v>249</v>
      </c>
      <c r="D269" t="s">
        <v>2981</v>
      </c>
      <c r="E269" t="s">
        <v>3251</v>
      </c>
      <c r="F269" t="s">
        <v>1942</v>
      </c>
      <c r="G269" t="s">
        <v>3590</v>
      </c>
      <c r="H269" t="s">
        <v>3654</v>
      </c>
      <c r="I269" t="s">
        <v>2374</v>
      </c>
      <c r="J269" t="s">
        <v>2374</v>
      </c>
      <c r="K269" t="s">
        <v>2374</v>
      </c>
    </row>
    <row r="270" spans="1:11" x14ac:dyDescent="0.3">
      <c r="A270" t="s">
        <v>2649</v>
      </c>
      <c r="B270" t="s">
        <v>2949</v>
      </c>
      <c r="C270" t="s">
        <v>249</v>
      </c>
      <c r="D270" t="s">
        <v>2983</v>
      </c>
      <c r="E270" t="s">
        <v>3252</v>
      </c>
      <c r="F270" t="s">
        <v>391</v>
      </c>
      <c r="G270" t="s">
        <v>2314</v>
      </c>
      <c r="H270" t="s">
        <v>3740</v>
      </c>
      <c r="I270" t="s">
        <v>2374</v>
      </c>
      <c r="J270" t="s">
        <v>2374</v>
      </c>
      <c r="K270" t="s">
        <v>2374</v>
      </c>
    </row>
    <row r="271" spans="1:11" x14ac:dyDescent="0.3">
      <c r="A271" t="s">
        <v>2650</v>
      </c>
      <c r="B271" t="s">
        <v>2950</v>
      </c>
      <c r="C271" t="s">
        <v>243</v>
      </c>
      <c r="D271" t="s">
        <v>2984</v>
      </c>
      <c r="E271" t="s">
        <v>3253</v>
      </c>
      <c r="F271" t="s">
        <v>560</v>
      </c>
      <c r="G271" t="s">
        <v>3591</v>
      </c>
      <c r="H271" t="s">
        <v>3741</v>
      </c>
      <c r="I271" t="s">
        <v>2374</v>
      </c>
      <c r="J271" t="s">
        <v>2374</v>
      </c>
      <c r="K271" t="s">
        <v>2374</v>
      </c>
    </row>
    <row r="272" spans="1:11" x14ac:dyDescent="0.3">
      <c r="A272" t="s">
        <v>2651</v>
      </c>
      <c r="B272" t="s">
        <v>2951</v>
      </c>
      <c r="C272" t="s">
        <v>243</v>
      </c>
      <c r="D272" t="s">
        <v>2983</v>
      </c>
      <c r="E272" t="s">
        <v>3254</v>
      </c>
      <c r="F272" t="s">
        <v>1942</v>
      </c>
      <c r="G272" t="s">
        <v>3592</v>
      </c>
      <c r="H272" t="s">
        <v>3549</v>
      </c>
      <c r="I272" t="s">
        <v>2374</v>
      </c>
      <c r="J272" t="s">
        <v>2374</v>
      </c>
      <c r="K272" t="s">
        <v>2374</v>
      </c>
    </row>
    <row r="273" spans="1:11" x14ac:dyDescent="0.3">
      <c r="A273" t="s">
        <v>2652</v>
      </c>
      <c r="B273" t="s">
        <v>2952</v>
      </c>
      <c r="C273" t="s">
        <v>232</v>
      </c>
      <c r="D273" t="s">
        <v>2982</v>
      </c>
      <c r="E273" t="s">
        <v>3255</v>
      </c>
      <c r="F273" t="s">
        <v>3442</v>
      </c>
      <c r="G273" t="s">
        <v>3593</v>
      </c>
      <c r="H273" t="s">
        <v>2119</v>
      </c>
      <c r="I273" t="s">
        <v>2374</v>
      </c>
      <c r="J273" t="s">
        <v>2374</v>
      </c>
      <c r="K273" t="s">
        <v>2374</v>
      </c>
    </row>
    <row r="274" spans="1:11" x14ac:dyDescent="0.3">
      <c r="A274" t="s">
        <v>2653</v>
      </c>
      <c r="B274" t="s">
        <v>2953</v>
      </c>
      <c r="C274" t="s">
        <v>199</v>
      </c>
      <c r="D274" t="s">
        <v>2982</v>
      </c>
      <c r="E274" t="s">
        <v>3256</v>
      </c>
      <c r="F274" t="s">
        <v>3443</v>
      </c>
      <c r="G274" t="s">
        <v>618</v>
      </c>
      <c r="H274" t="s">
        <v>3719</v>
      </c>
      <c r="I274" t="s">
        <v>2374</v>
      </c>
      <c r="J274" t="s">
        <v>2374</v>
      </c>
      <c r="K274" t="s">
        <v>2374</v>
      </c>
    </row>
    <row r="275" spans="1:11" x14ac:dyDescent="0.3">
      <c r="A275" t="s">
        <v>2654</v>
      </c>
      <c r="B275" t="s">
        <v>2954</v>
      </c>
      <c r="C275" t="s">
        <v>222</v>
      </c>
      <c r="D275" t="s">
        <v>2983</v>
      </c>
      <c r="E275" t="s">
        <v>3257</v>
      </c>
      <c r="F275" t="s">
        <v>635</v>
      </c>
      <c r="G275" t="s">
        <v>408</v>
      </c>
      <c r="H275" t="s">
        <v>2096</v>
      </c>
      <c r="I275" t="s">
        <v>2374</v>
      </c>
      <c r="J275" t="s">
        <v>2374</v>
      </c>
      <c r="K275" t="s">
        <v>2374</v>
      </c>
    </row>
    <row r="276" spans="1:11" x14ac:dyDescent="0.3">
      <c r="A276" t="s">
        <v>2655</v>
      </c>
      <c r="B276" t="s">
        <v>2955</v>
      </c>
      <c r="C276" t="s">
        <v>248</v>
      </c>
      <c r="D276" t="s">
        <v>2981</v>
      </c>
      <c r="E276" t="s">
        <v>3258</v>
      </c>
      <c r="F276" t="s">
        <v>1987</v>
      </c>
      <c r="G276" t="s">
        <v>465</v>
      </c>
      <c r="H276" t="s">
        <v>259</v>
      </c>
      <c r="I276" t="s">
        <v>2374</v>
      </c>
      <c r="J276" t="s">
        <v>2374</v>
      </c>
      <c r="K276" t="s">
        <v>2374</v>
      </c>
    </row>
    <row r="277" spans="1:11" x14ac:dyDescent="0.3">
      <c r="A277" t="s">
        <v>2656</v>
      </c>
      <c r="B277" t="s">
        <v>2956</v>
      </c>
      <c r="C277" t="s">
        <v>204</v>
      </c>
      <c r="D277" t="s">
        <v>2982</v>
      </c>
      <c r="E277" t="s">
        <v>3259</v>
      </c>
      <c r="F277" t="s">
        <v>283</v>
      </c>
      <c r="G277" t="s">
        <v>3594</v>
      </c>
      <c r="H277" t="s">
        <v>3304</v>
      </c>
      <c r="I277" t="s">
        <v>2374</v>
      </c>
      <c r="J277" t="s">
        <v>2374</v>
      </c>
      <c r="K277" t="s">
        <v>2374</v>
      </c>
    </row>
    <row r="278" spans="1:11" x14ac:dyDescent="0.3">
      <c r="A278" t="s">
        <v>2657</v>
      </c>
      <c r="B278" t="s">
        <v>2957</v>
      </c>
      <c r="C278" t="s">
        <v>229</v>
      </c>
      <c r="D278" t="s">
        <v>2983</v>
      </c>
      <c r="E278" t="s">
        <v>3260</v>
      </c>
      <c r="F278" t="s">
        <v>3296</v>
      </c>
      <c r="G278" t="s">
        <v>3373</v>
      </c>
      <c r="H278" t="s">
        <v>446</v>
      </c>
      <c r="I278" t="s">
        <v>2374</v>
      </c>
      <c r="J278" t="s">
        <v>2374</v>
      </c>
      <c r="K278" t="s">
        <v>2374</v>
      </c>
    </row>
    <row r="279" spans="1:11" x14ac:dyDescent="0.3">
      <c r="A279" t="s">
        <v>2658</v>
      </c>
      <c r="B279" t="s">
        <v>2958</v>
      </c>
      <c r="C279" t="s">
        <v>207</v>
      </c>
      <c r="D279" t="s">
        <v>2984</v>
      </c>
      <c r="E279" t="s">
        <v>3261</v>
      </c>
      <c r="F279" t="s">
        <v>3316</v>
      </c>
      <c r="G279" t="s">
        <v>3595</v>
      </c>
      <c r="H279" t="s">
        <v>2089</v>
      </c>
      <c r="I279" t="s">
        <v>2374</v>
      </c>
      <c r="J279" t="s">
        <v>2374</v>
      </c>
      <c r="K279" t="s">
        <v>2374</v>
      </c>
    </row>
    <row r="280" spans="1:11" x14ac:dyDescent="0.3">
      <c r="A280" t="s">
        <v>2659</v>
      </c>
      <c r="B280" t="s">
        <v>2959</v>
      </c>
      <c r="C280" t="s">
        <v>228</v>
      </c>
      <c r="D280" t="s">
        <v>2984</v>
      </c>
      <c r="E280" t="s">
        <v>3262</v>
      </c>
      <c r="F280" t="s">
        <v>1960</v>
      </c>
      <c r="G280" t="s">
        <v>2187</v>
      </c>
      <c r="H280" t="s">
        <v>3742</v>
      </c>
      <c r="I280" t="s">
        <v>2374</v>
      </c>
      <c r="J280" t="s">
        <v>2374</v>
      </c>
      <c r="K280" t="s">
        <v>2374</v>
      </c>
    </row>
    <row r="281" spans="1:11" x14ac:dyDescent="0.3">
      <c r="A281" t="s">
        <v>2660</v>
      </c>
      <c r="B281" t="s">
        <v>2960</v>
      </c>
      <c r="C281" t="s">
        <v>204</v>
      </c>
      <c r="D281" t="s">
        <v>2984</v>
      </c>
      <c r="E281" t="s">
        <v>3263</v>
      </c>
      <c r="F281" t="s">
        <v>3300</v>
      </c>
      <c r="G281" t="s">
        <v>574</v>
      </c>
      <c r="H281" t="s">
        <v>3743</v>
      </c>
      <c r="I281" t="s">
        <v>2374</v>
      </c>
      <c r="J281" t="s">
        <v>2374</v>
      </c>
      <c r="K281" t="s">
        <v>2374</v>
      </c>
    </row>
    <row r="282" spans="1:11" x14ac:dyDescent="0.3">
      <c r="A282" t="s">
        <v>2661</v>
      </c>
      <c r="B282" t="s">
        <v>2961</v>
      </c>
      <c r="C282" t="s">
        <v>204</v>
      </c>
      <c r="D282" t="s">
        <v>2981</v>
      </c>
      <c r="E282" t="s">
        <v>3264</v>
      </c>
      <c r="F282" t="s">
        <v>1900</v>
      </c>
      <c r="G282" t="s">
        <v>3596</v>
      </c>
      <c r="H282" t="s">
        <v>3744</v>
      </c>
      <c r="I282" t="s">
        <v>2374</v>
      </c>
      <c r="J282" t="s">
        <v>2374</v>
      </c>
      <c r="K282" t="s">
        <v>2375</v>
      </c>
    </row>
    <row r="283" spans="1:11" x14ac:dyDescent="0.3">
      <c r="A283" t="s">
        <v>2662</v>
      </c>
      <c r="B283" t="s">
        <v>2962</v>
      </c>
      <c r="C283" t="s">
        <v>229</v>
      </c>
      <c r="D283" t="s">
        <v>2984</v>
      </c>
      <c r="E283" t="s">
        <v>3265</v>
      </c>
      <c r="F283" t="s">
        <v>2349</v>
      </c>
      <c r="G283" t="s">
        <v>3597</v>
      </c>
      <c r="H283" t="s">
        <v>2289</v>
      </c>
      <c r="I283" t="s">
        <v>2374</v>
      </c>
      <c r="J283" t="s">
        <v>2374</v>
      </c>
      <c r="K283" t="s">
        <v>2375</v>
      </c>
    </row>
    <row r="284" spans="1:11" x14ac:dyDescent="0.3">
      <c r="A284" t="s">
        <v>2663</v>
      </c>
      <c r="B284" t="s">
        <v>2963</v>
      </c>
      <c r="C284" t="s">
        <v>229</v>
      </c>
      <c r="D284" t="s">
        <v>2981</v>
      </c>
      <c r="E284" t="s">
        <v>3266</v>
      </c>
      <c r="F284" t="s">
        <v>3444</v>
      </c>
      <c r="G284" t="s">
        <v>3598</v>
      </c>
      <c r="H284" t="s">
        <v>3745</v>
      </c>
      <c r="I284" t="s">
        <v>2374</v>
      </c>
      <c r="J284" t="s">
        <v>2374</v>
      </c>
      <c r="K284" t="s">
        <v>2375</v>
      </c>
    </row>
    <row r="285" spans="1:11" x14ac:dyDescent="0.3">
      <c r="A285" t="s">
        <v>2664</v>
      </c>
      <c r="B285" t="s">
        <v>2964</v>
      </c>
      <c r="C285" t="s">
        <v>204</v>
      </c>
      <c r="D285" t="s">
        <v>2981</v>
      </c>
      <c r="E285" t="s">
        <v>3267</v>
      </c>
      <c r="F285" t="s">
        <v>3445</v>
      </c>
      <c r="G285" t="s">
        <v>3599</v>
      </c>
      <c r="H285" t="s">
        <v>269</v>
      </c>
      <c r="I285" t="s">
        <v>2374</v>
      </c>
      <c r="J285" t="s">
        <v>2374</v>
      </c>
      <c r="K285" t="s">
        <v>2375</v>
      </c>
    </row>
    <row r="286" spans="1:11" x14ac:dyDescent="0.3">
      <c r="A286" t="s">
        <v>2665</v>
      </c>
      <c r="B286" t="s">
        <v>2965</v>
      </c>
      <c r="C286" t="s">
        <v>190</v>
      </c>
      <c r="D286" t="s">
        <v>2984</v>
      </c>
      <c r="E286" t="s">
        <v>3268</v>
      </c>
      <c r="F286" t="s">
        <v>3388</v>
      </c>
      <c r="G286" t="s">
        <v>3600</v>
      </c>
      <c r="H286" t="s">
        <v>3746</v>
      </c>
      <c r="I286" t="s">
        <v>2374</v>
      </c>
      <c r="J286" t="s">
        <v>2374</v>
      </c>
      <c r="K286" t="s">
        <v>2375</v>
      </c>
    </row>
    <row r="287" spans="1:11" x14ac:dyDescent="0.3">
      <c r="A287" t="s">
        <v>2666</v>
      </c>
      <c r="B287" t="s">
        <v>2966</v>
      </c>
      <c r="C287" t="s">
        <v>239</v>
      </c>
      <c r="D287" t="s">
        <v>2981</v>
      </c>
      <c r="E287" t="s">
        <v>3269</v>
      </c>
      <c r="F287" t="s">
        <v>1792</v>
      </c>
      <c r="G287" t="s">
        <v>3601</v>
      </c>
      <c r="H287" t="s">
        <v>3747</v>
      </c>
      <c r="I287" t="s">
        <v>2374</v>
      </c>
      <c r="J287" t="s">
        <v>2374</v>
      </c>
      <c r="K287" t="s">
        <v>2374</v>
      </c>
    </row>
    <row r="288" spans="1:11" x14ac:dyDescent="0.3">
      <c r="A288" t="s">
        <v>2667</v>
      </c>
      <c r="B288" t="s">
        <v>2967</v>
      </c>
      <c r="C288" t="s">
        <v>210</v>
      </c>
      <c r="D288" t="s">
        <v>2983</v>
      </c>
      <c r="E288" t="s">
        <v>3270</v>
      </c>
      <c r="F288" t="s">
        <v>2283</v>
      </c>
      <c r="G288" t="s">
        <v>3602</v>
      </c>
      <c r="H288" t="s">
        <v>3460</v>
      </c>
      <c r="I288" t="s">
        <v>2374</v>
      </c>
      <c r="J288" t="s">
        <v>2374</v>
      </c>
      <c r="K288" t="s">
        <v>2375</v>
      </c>
    </row>
    <row r="289" spans="1:11" x14ac:dyDescent="0.3">
      <c r="A289" t="s">
        <v>2668</v>
      </c>
      <c r="B289" t="s">
        <v>2968</v>
      </c>
      <c r="C289" t="s">
        <v>224</v>
      </c>
      <c r="D289" t="s">
        <v>2984</v>
      </c>
      <c r="E289" t="s">
        <v>3271</v>
      </c>
      <c r="F289" t="s">
        <v>3446</v>
      </c>
      <c r="G289" t="s">
        <v>451</v>
      </c>
      <c r="H289" t="s">
        <v>3748</v>
      </c>
      <c r="I289" t="s">
        <v>2374</v>
      </c>
      <c r="J289" t="s">
        <v>2374</v>
      </c>
      <c r="K289" t="s">
        <v>2375</v>
      </c>
    </row>
    <row r="290" spans="1:11" x14ac:dyDescent="0.3">
      <c r="A290" t="s">
        <v>2669</v>
      </c>
      <c r="B290" t="s">
        <v>2969</v>
      </c>
      <c r="C290" t="s">
        <v>244</v>
      </c>
      <c r="D290" t="s">
        <v>2984</v>
      </c>
      <c r="E290" t="s">
        <v>3272</v>
      </c>
      <c r="F290" t="s">
        <v>3447</v>
      </c>
      <c r="G290" t="s">
        <v>2145</v>
      </c>
      <c r="H290" t="s">
        <v>3749</v>
      </c>
      <c r="I290" t="s">
        <v>2374</v>
      </c>
      <c r="J290" t="s">
        <v>2374</v>
      </c>
      <c r="K290" t="s">
        <v>2374</v>
      </c>
    </row>
    <row r="291" spans="1:11" x14ac:dyDescent="0.3">
      <c r="A291" t="s">
        <v>2670</v>
      </c>
      <c r="B291" t="s">
        <v>2970</v>
      </c>
      <c r="C291" t="s">
        <v>206</v>
      </c>
      <c r="D291" t="s">
        <v>2981</v>
      </c>
      <c r="E291" t="s">
        <v>3273</v>
      </c>
      <c r="F291" t="s">
        <v>2246</v>
      </c>
      <c r="G291" t="s">
        <v>324</v>
      </c>
      <c r="H291" t="s">
        <v>323</v>
      </c>
      <c r="I291" t="s">
        <v>2374</v>
      </c>
      <c r="J291" t="s">
        <v>2374</v>
      </c>
      <c r="K291" t="s">
        <v>2375</v>
      </c>
    </row>
    <row r="292" spans="1:11" x14ac:dyDescent="0.3">
      <c r="A292" t="s">
        <v>2671</v>
      </c>
      <c r="B292" t="s">
        <v>2971</v>
      </c>
      <c r="C292" t="s">
        <v>210</v>
      </c>
      <c r="D292" t="s">
        <v>2981</v>
      </c>
      <c r="E292" t="s">
        <v>3274</v>
      </c>
      <c r="F292" t="s">
        <v>559</v>
      </c>
      <c r="G292" t="s">
        <v>3461</v>
      </c>
      <c r="H292" t="s">
        <v>3750</v>
      </c>
      <c r="I292" t="s">
        <v>2375</v>
      </c>
      <c r="J292" t="s">
        <v>2374</v>
      </c>
      <c r="K292" t="s">
        <v>2374</v>
      </c>
    </row>
    <row r="293" spans="1:11" x14ac:dyDescent="0.3">
      <c r="A293" t="s">
        <v>2672</v>
      </c>
      <c r="B293" t="s">
        <v>2972</v>
      </c>
      <c r="C293" t="s">
        <v>193</v>
      </c>
      <c r="D293" t="s">
        <v>2982</v>
      </c>
      <c r="E293" t="s">
        <v>3275</v>
      </c>
      <c r="F293" t="s">
        <v>3448</v>
      </c>
      <c r="G293" t="s">
        <v>360</v>
      </c>
      <c r="H293" t="s">
        <v>3751</v>
      </c>
      <c r="I293" t="s">
        <v>2375</v>
      </c>
      <c r="J293" t="s">
        <v>2375</v>
      </c>
      <c r="K293" t="s">
        <v>2374</v>
      </c>
    </row>
    <row r="294" spans="1:11" x14ac:dyDescent="0.3">
      <c r="A294" t="s">
        <v>2673</v>
      </c>
      <c r="B294" t="s">
        <v>2973</v>
      </c>
      <c r="C294" t="s">
        <v>241</v>
      </c>
      <c r="D294" t="s">
        <v>2983</v>
      </c>
      <c r="E294" t="s">
        <v>3276</v>
      </c>
      <c r="F294" t="s">
        <v>3449</v>
      </c>
      <c r="G294" t="s">
        <v>3603</v>
      </c>
      <c r="H294" t="s">
        <v>3752</v>
      </c>
      <c r="I294" t="s">
        <v>2375</v>
      </c>
      <c r="J294" t="s">
        <v>2374</v>
      </c>
      <c r="K294" t="s">
        <v>2375</v>
      </c>
    </row>
    <row r="295" spans="1:11" x14ac:dyDescent="0.3">
      <c r="A295" t="s">
        <v>2674</v>
      </c>
      <c r="B295" t="s">
        <v>2974</v>
      </c>
      <c r="C295" t="s">
        <v>226</v>
      </c>
      <c r="D295" t="s">
        <v>2984</v>
      </c>
      <c r="E295" t="s">
        <v>3277</v>
      </c>
      <c r="F295" t="s">
        <v>3299</v>
      </c>
      <c r="G295" t="s">
        <v>3481</v>
      </c>
      <c r="H295" t="s">
        <v>3753</v>
      </c>
      <c r="I295" t="s">
        <v>2375</v>
      </c>
      <c r="J295" t="s">
        <v>2374</v>
      </c>
      <c r="K295" t="s">
        <v>2374</v>
      </c>
    </row>
    <row r="296" spans="1:11" x14ac:dyDescent="0.3">
      <c r="A296" t="s">
        <v>2675</v>
      </c>
      <c r="B296" t="s">
        <v>2975</v>
      </c>
      <c r="C296" t="s">
        <v>224</v>
      </c>
      <c r="D296" t="s">
        <v>2984</v>
      </c>
      <c r="E296" t="s">
        <v>3278</v>
      </c>
      <c r="F296" t="s">
        <v>330</v>
      </c>
      <c r="G296" t="s">
        <v>3604</v>
      </c>
      <c r="H296" t="s">
        <v>2370</v>
      </c>
      <c r="I296" t="s">
        <v>2374</v>
      </c>
      <c r="J296" t="s">
        <v>2374</v>
      </c>
      <c r="K296" t="s">
        <v>2375</v>
      </c>
    </row>
    <row r="297" spans="1:11" x14ac:dyDescent="0.3">
      <c r="A297" t="s">
        <v>2676</v>
      </c>
      <c r="B297" t="s">
        <v>2976</v>
      </c>
      <c r="C297" t="s">
        <v>239</v>
      </c>
      <c r="D297" t="s">
        <v>2983</v>
      </c>
      <c r="E297" t="s">
        <v>3279</v>
      </c>
      <c r="F297" t="s">
        <v>3450</v>
      </c>
      <c r="G297" t="s">
        <v>2122</v>
      </c>
      <c r="H297" t="s">
        <v>622</v>
      </c>
      <c r="I297" t="s">
        <v>2375</v>
      </c>
      <c r="J297" t="s">
        <v>2375</v>
      </c>
      <c r="K297" t="s">
        <v>2374</v>
      </c>
    </row>
    <row r="298" spans="1:11" x14ac:dyDescent="0.3">
      <c r="A298" t="s">
        <v>2677</v>
      </c>
      <c r="B298" t="s">
        <v>2977</v>
      </c>
      <c r="C298" t="s">
        <v>222</v>
      </c>
      <c r="D298" t="s">
        <v>2982</v>
      </c>
      <c r="E298" t="s">
        <v>3280</v>
      </c>
      <c r="F298" t="s">
        <v>2206</v>
      </c>
      <c r="G298" t="s">
        <v>3605</v>
      </c>
      <c r="H298" t="s">
        <v>3754</v>
      </c>
      <c r="I298" t="s">
        <v>2375</v>
      </c>
      <c r="J298" t="s">
        <v>2374</v>
      </c>
      <c r="K298" t="s">
        <v>2374</v>
      </c>
    </row>
    <row r="299" spans="1:11" x14ac:dyDescent="0.3">
      <c r="A299" t="s">
        <v>2678</v>
      </c>
      <c r="B299" t="s">
        <v>2978</v>
      </c>
      <c r="C299" t="s">
        <v>234</v>
      </c>
      <c r="D299" t="s">
        <v>2983</v>
      </c>
      <c r="E299" t="s">
        <v>3281</v>
      </c>
      <c r="F299" t="s">
        <v>631</v>
      </c>
      <c r="G299" t="s">
        <v>403</v>
      </c>
      <c r="H299" t="s">
        <v>3755</v>
      </c>
      <c r="I299" t="s">
        <v>2374</v>
      </c>
      <c r="J299" t="s">
        <v>2375</v>
      </c>
      <c r="K299" t="s">
        <v>2374</v>
      </c>
    </row>
    <row r="300" spans="1:11" x14ac:dyDescent="0.3">
      <c r="A300" t="s">
        <v>2679</v>
      </c>
      <c r="B300" t="s">
        <v>2979</v>
      </c>
      <c r="C300" t="s">
        <v>205</v>
      </c>
      <c r="D300" t="s">
        <v>2984</v>
      </c>
      <c r="E300" t="s">
        <v>3282</v>
      </c>
      <c r="F300" t="s">
        <v>3307</v>
      </c>
      <c r="G300" t="s">
        <v>2089</v>
      </c>
      <c r="H300" t="s">
        <v>3756</v>
      </c>
      <c r="I300" t="s">
        <v>2374</v>
      </c>
      <c r="J300" t="s">
        <v>2374</v>
      </c>
      <c r="K300" t="s">
        <v>2375</v>
      </c>
    </row>
    <row r="301" spans="1:11" x14ac:dyDescent="0.3">
      <c r="A301" t="s">
        <v>2680</v>
      </c>
      <c r="B301" t="s">
        <v>2980</v>
      </c>
      <c r="C301" t="s">
        <v>220</v>
      </c>
      <c r="D301" t="s">
        <v>2982</v>
      </c>
      <c r="E301" t="s">
        <v>3283</v>
      </c>
      <c r="F301" t="s">
        <v>3451</v>
      </c>
      <c r="G301" t="s">
        <v>3606</v>
      </c>
      <c r="H301" t="s">
        <v>3522</v>
      </c>
      <c r="I301" t="s">
        <v>2375</v>
      </c>
      <c r="J301" t="s">
        <v>2374</v>
      </c>
      <c r="K301" t="s">
        <v>2374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1"/>
  <sheetViews>
    <sheetView topLeftCell="A113" workbookViewId="0">
      <selection activeCell="E336" sqref="E336"/>
    </sheetView>
  </sheetViews>
  <sheetFormatPr defaultRowHeight="14.4" x14ac:dyDescent="0.3"/>
  <cols>
    <col min="1" max="1" width="14" customWidth="1"/>
    <col min="2" max="2" width="19.21875" bestFit="1" customWidth="1"/>
    <col min="3" max="3" width="16.44140625" bestFit="1" customWidth="1"/>
    <col min="4" max="4" width="16.77734375" customWidth="1"/>
    <col min="5" max="5" width="12" customWidth="1"/>
    <col min="6" max="6" width="14.5546875" customWidth="1"/>
    <col min="7" max="7" width="12.77734375" customWidth="1"/>
    <col min="8" max="8" width="19.21875" customWidth="1"/>
    <col min="9" max="9" width="15.44140625" customWidth="1"/>
    <col min="10" max="10" width="6.109375" customWidth="1"/>
    <col min="11" max="11" width="11" customWidth="1"/>
  </cols>
  <sheetData>
    <row r="1" spans="1:11" x14ac:dyDescent="0.3">
      <c r="A1" t="s">
        <v>680</v>
      </c>
      <c r="B1" t="s">
        <v>681</v>
      </c>
      <c r="C1" t="s">
        <v>3</v>
      </c>
      <c r="D1" t="s">
        <v>682</v>
      </c>
      <c r="E1" t="s">
        <v>683</v>
      </c>
      <c r="F1" t="s">
        <v>684</v>
      </c>
      <c r="G1" t="s">
        <v>6</v>
      </c>
      <c r="H1" t="s">
        <v>7</v>
      </c>
      <c r="I1" t="s">
        <v>685</v>
      </c>
      <c r="J1" t="s">
        <v>686</v>
      </c>
      <c r="K1" t="s">
        <v>687</v>
      </c>
    </row>
    <row r="2" spans="1:11" x14ac:dyDescent="0.3">
      <c r="A2" t="s">
        <v>688</v>
      </c>
      <c r="B2" t="s">
        <v>1038</v>
      </c>
      <c r="C2" t="s">
        <v>231</v>
      </c>
      <c r="D2" t="s">
        <v>1383</v>
      </c>
      <c r="E2" t="s">
        <v>1386</v>
      </c>
      <c r="F2" t="s">
        <v>675</v>
      </c>
      <c r="G2" t="s">
        <v>381</v>
      </c>
      <c r="H2" t="s">
        <v>2154</v>
      </c>
      <c r="I2" t="s">
        <v>2374</v>
      </c>
      <c r="J2" t="s">
        <v>2374</v>
      </c>
      <c r="K2" t="s">
        <v>2374</v>
      </c>
    </row>
    <row r="3" spans="1:11" x14ac:dyDescent="0.3">
      <c r="A3" t="s">
        <v>689</v>
      </c>
      <c r="B3" t="s">
        <v>1039</v>
      </c>
      <c r="C3" t="s">
        <v>197</v>
      </c>
      <c r="D3" t="s">
        <v>1384</v>
      </c>
      <c r="E3" t="s">
        <v>1387</v>
      </c>
      <c r="F3" t="s">
        <v>1736</v>
      </c>
      <c r="G3" t="s">
        <v>1913</v>
      </c>
      <c r="H3" t="s">
        <v>401</v>
      </c>
      <c r="I3" t="s">
        <v>2375</v>
      </c>
      <c r="J3" t="s">
        <v>2374</v>
      </c>
      <c r="K3" t="s">
        <v>2375</v>
      </c>
    </row>
    <row r="4" spans="1:11" x14ac:dyDescent="0.3">
      <c r="A4" t="s">
        <v>690</v>
      </c>
      <c r="B4" t="s">
        <v>1040</v>
      </c>
      <c r="C4" t="s">
        <v>206</v>
      </c>
      <c r="D4" t="s">
        <v>1383</v>
      </c>
      <c r="E4" t="s">
        <v>1388</v>
      </c>
      <c r="F4" t="s">
        <v>1737</v>
      </c>
      <c r="G4" t="s">
        <v>1914</v>
      </c>
      <c r="H4" t="s">
        <v>2155</v>
      </c>
      <c r="I4" t="s">
        <v>2374</v>
      </c>
      <c r="J4" t="s">
        <v>2374</v>
      </c>
      <c r="K4" t="s">
        <v>2374</v>
      </c>
    </row>
    <row r="5" spans="1:11" x14ac:dyDescent="0.3">
      <c r="A5" t="s">
        <v>691</v>
      </c>
      <c r="B5" t="s">
        <v>1041</v>
      </c>
      <c r="C5" t="s">
        <v>233</v>
      </c>
      <c r="D5" t="s">
        <v>1383</v>
      </c>
      <c r="E5" t="s">
        <v>1389</v>
      </c>
      <c r="F5" t="s">
        <v>1738</v>
      </c>
      <c r="G5" t="s">
        <v>1915</v>
      </c>
      <c r="H5" t="s">
        <v>2156</v>
      </c>
      <c r="I5" t="s">
        <v>2374</v>
      </c>
      <c r="J5" t="s">
        <v>2374</v>
      </c>
      <c r="K5" t="s">
        <v>2374</v>
      </c>
    </row>
    <row r="6" spans="1:11" x14ac:dyDescent="0.3">
      <c r="A6" t="s">
        <v>692</v>
      </c>
      <c r="B6" t="s">
        <v>1042</v>
      </c>
      <c r="C6" t="s">
        <v>228</v>
      </c>
      <c r="D6" t="s">
        <v>1384</v>
      </c>
      <c r="E6" t="s">
        <v>1390</v>
      </c>
      <c r="F6" t="s">
        <v>1739</v>
      </c>
      <c r="G6" t="s">
        <v>1916</v>
      </c>
      <c r="H6" t="s">
        <v>2157</v>
      </c>
      <c r="I6" t="s">
        <v>2375</v>
      </c>
      <c r="J6" t="s">
        <v>2375</v>
      </c>
      <c r="K6" t="s">
        <v>2374</v>
      </c>
    </row>
    <row r="7" spans="1:11" x14ac:dyDescent="0.3">
      <c r="A7" t="s">
        <v>693</v>
      </c>
      <c r="B7" t="s">
        <v>1043</v>
      </c>
      <c r="C7" t="s">
        <v>197</v>
      </c>
      <c r="D7" t="s">
        <v>1385</v>
      </c>
      <c r="E7" t="s">
        <v>1391</v>
      </c>
      <c r="F7" t="s">
        <v>1740</v>
      </c>
      <c r="G7" t="s">
        <v>1917</v>
      </c>
      <c r="H7" t="s">
        <v>590</v>
      </c>
      <c r="I7" t="s">
        <v>2375</v>
      </c>
      <c r="J7" t="s">
        <v>2374</v>
      </c>
      <c r="K7" t="s">
        <v>2374</v>
      </c>
    </row>
    <row r="8" spans="1:11" x14ac:dyDescent="0.3">
      <c r="A8" t="s">
        <v>694</v>
      </c>
      <c r="B8" t="s">
        <v>1044</v>
      </c>
      <c r="C8" t="s">
        <v>240</v>
      </c>
      <c r="D8" t="s">
        <v>1384</v>
      </c>
      <c r="E8" t="s">
        <v>1392</v>
      </c>
      <c r="F8" t="s">
        <v>1741</v>
      </c>
      <c r="G8" t="s">
        <v>321</v>
      </c>
      <c r="H8" t="s">
        <v>390</v>
      </c>
      <c r="I8" t="s">
        <v>2375</v>
      </c>
      <c r="J8" t="s">
        <v>2374</v>
      </c>
      <c r="K8" t="s">
        <v>2374</v>
      </c>
    </row>
    <row r="9" spans="1:11" x14ac:dyDescent="0.3">
      <c r="A9" t="s">
        <v>695</v>
      </c>
      <c r="B9" t="s">
        <v>1045</v>
      </c>
      <c r="C9" t="s">
        <v>195</v>
      </c>
      <c r="D9" t="s">
        <v>1385</v>
      </c>
      <c r="E9" t="s">
        <v>1393</v>
      </c>
      <c r="F9" t="s">
        <v>1740</v>
      </c>
      <c r="G9" t="s">
        <v>1918</v>
      </c>
      <c r="H9" t="s">
        <v>2158</v>
      </c>
      <c r="I9" t="s">
        <v>2375</v>
      </c>
      <c r="J9" t="s">
        <v>2374</v>
      </c>
      <c r="K9" t="s">
        <v>2374</v>
      </c>
    </row>
    <row r="10" spans="1:11" x14ac:dyDescent="0.3">
      <c r="A10" t="s">
        <v>696</v>
      </c>
      <c r="B10" t="s">
        <v>1046</v>
      </c>
      <c r="C10" t="s">
        <v>191</v>
      </c>
      <c r="D10" t="s">
        <v>1385</v>
      </c>
      <c r="E10" t="s">
        <v>1394</v>
      </c>
      <c r="F10" t="s">
        <v>1740</v>
      </c>
      <c r="G10" t="s">
        <v>595</v>
      </c>
      <c r="H10" t="s">
        <v>2159</v>
      </c>
      <c r="I10" t="s">
        <v>2375</v>
      </c>
      <c r="J10" t="s">
        <v>2374</v>
      </c>
      <c r="K10" t="s">
        <v>2374</v>
      </c>
    </row>
    <row r="11" spans="1:11" x14ac:dyDescent="0.3">
      <c r="A11" t="s">
        <v>697</v>
      </c>
      <c r="B11" t="s">
        <v>1047</v>
      </c>
      <c r="C11" t="s">
        <v>197</v>
      </c>
      <c r="D11" t="s">
        <v>1385</v>
      </c>
      <c r="E11" t="s">
        <v>1395</v>
      </c>
      <c r="F11" t="s">
        <v>1740</v>
      </c>
      <c r="G11" t="s">
        <v>1907</v>
      </c>
      <c r="H11" t="s">
        <v>533</v>
      </c>
      <c r="I11" t="s">
        <v>2374</v>
      </c>
      <c r="J11" t="s">
        <v>2374</v>
      </c>
      <c r="K11" t="s">
        <v>2374</v>
      </c>
    </row>
    <row r="12" spans="1:11" x14ac:dyDescent="0.3">
      <c r="A12" t="s">
        <v>698</v>
      </c>
      <c r="B12" t="s">
        <v>1048</v>
      </c>
      <c r="C12" t="s">
        <v>208</v>
      </c>
      <c r="D12" t="s">
        <v>1383</v>
      </c>
      <c r="E12" t="s">
        <v>1396</v>
      </c>
      <c r="F12" t="s">
        <v>1742</v>
      </c>
      <c r="G12" t="s">
        <v>445</v>
      </c>
      <c r="H12" t="s">
        <v>2160</v>
      </c>
      <c r="I12" t="s">
        <v>2374</v>
      </c>
      <c r="J12" t="s">
        <v>2374</v>
      </c>
      <c r="K12" t="s">
        <v>2374</v>
      </c>
    </row>
    <row r="13" spans="1:11" x14ac:dyDescent="0.3">
      <c r="A13" t="s">
        <v>699</v>
      </c>
      <c r="B13" t="s">
        <v>1049</v>
      </c>
      <c r="C13" t="s">
        <v>194</v>
      </c>
      <c r="D13" t="s">
        <v>1384</v>
      </c>
      <c r="E13" t="s">
        <v>1397</v>
      </c>
      <c r="F13" t="s">
        <v>1743</v>
      </c>
      <c r="G13" t="s">
        <v>1919</v>
      </c>
      <c r="H13" t="s">
        <v>2161</v>
      </c>
      <c r="I13" t="s">
        <v>2374</v>
      </c>
      <c r="J13" t="s">
        <v>2374</v>
      </c>
      <c r="K13" t="s">
        <v>2374</v>
      </c>
    </row>
    <row r="14" spans="1:11" x14ac:dyDescent="0.3">
      <c r="A14" t="s">
        <v>700</v>
      </c>
      <c r="B14" t="s">
        <v>1050</v>
      </c>
      <c r="C14" t="s">
        <v>225</v>
      </c>
      <c r="D14" t="s">
        <v>1384</v>
      </c>
      <c r="E14" t="s">
        <v>1398</v>
      </c>
      <c r="F14" t="s">
        <v>1744</v>
      </c>
      <c r="G14" t="s">
        <v>1920</v>
      </c>
      <c r="H14" t="s">
        <v>2162</v>
      </c>
      <c r="I14" t="s">
        <v>2374</v>
      </c>
      <c r="J14" t="s">
        <v>2374</v>
      </c>
      <c r="K14" t="s">
        <v>2374</v>
      </c>
    </row>
    <row r="15" spans="1:11" x14ac:dyDescent="0.3">
      <c r="A15" t="s">
        <v>701</v>
      </c>
      <c r="B15" t="s">
        <v>1051</v>
      </c>
      <c r="C15" t="s">
        <v>204</v>
      </c>
      <c r="D15" t="s">
        <v>1384</v>
      </c>
      <c r="E15" t="s">
        <v>1399</v>
      </c>
      <c r="F15" t="s">
        <v>1745</v>
      </c>
      <c r="G15" t="s">
        <v>601</v>
      </c>
      <c r="H15" t="s">
        <v>2163</v>
      </c>
      <c r="I15" t="s">
        <v>2374</v>
      </c>
      <c r="J15" t="s">
        <v>2374</v>
      </c>
      <c r="K15" t="s">
        <v>2374</v>
      </c>
    </row>
    <row r="16" spans="1:11" x14ac:dyDescent="0.3">
      <c r="A16" t="s">
        <v>702</v>
      </c>
      <c r="B16" t="s">
        <v>1052</v>
      </c>
      <c r="C16" t="s">
        <v>241</v>
      </c>
      <c r="D16" t="s">
        <v>1383</v>
      </c>
      <c r="E16" t="s">
        <v>1400</v>
      </c>
      <c r="F16" t="s">
        <v>1746</v>
      </c>
      <c r="G16" t="s">
        <v>1921</v>
      </c>
      <c r="H16" t="s">
        <v>2164</v>
      </c>
      <c r="I16" t="s">
        <v>2374</v>
      </c>
      <c r="J16" t="s">
        <v>2374</v>
      </c>
      <c r="K16" t="s">
        <v>2374</v>
      </c>
    </row>
    <row r="17" spans="1:11" x14ac:dyDescent="0.3">
      <c r="A17" t="s">
        <v>703</v>
      </c>
      <c r="B17" t="s">
        <v>1053</v>
      </c>
      <c r="C17" t="s">
        <v>210</v>
      </c>
      <c r="D17" t="s">
        <v>1383</v>
      </c>
      <c r="E17" t="s">
        <v>1401</v>
      </c>
      <c r="F17" t="s">
        <v>1747</v>
      </c>
      <c r="G17" t="s">
        <v>371</v>
      </c>
      <c r="H17" t="s">
        <v>2165</v>
      </c>
      <c r="I17" t="s">
        <v>2374</v>
      </c>
      <c r="J17" t="s">
        <v>2374</v>
      </c>
      <c r="K17" t="s">
        <v>2374</v>
      </c>
    </row>
    <row r="18" spans="1:11" x14ac:dyDescent="0.3">
      <c r="A18" t="s">
        <v>704</v>
      </c>
      <c r="B18" t="s">
        <v>1054</v>
      </c>
      <c r="C18" t="s">
        <v>192</v>
      </c>
      <c r="D18" t="s">
        <v>1384</v>
      </c>
      <c r="E18" t="s">
        <v>1402</v>
      </c>
      <c r="F18" t="s">
        <v>1748</v>
      </c>
      <c r="G18" t="s">
        <v>1922</v>
      </c>
      <c r="H18" t="s">
        <v>2166</v>
      </c>
      <c r="I18" t="s">
        <v>2374</v>
      </c>
      <c r="J18" t="s">
        <v>2375</v>
      </c>
      <c r="K18" t="s">
        <v>2374</v>
      </c>
    </row>
    <row r="19" spans="1:11" x14ac:dyDescent="0.3">
      <c r="A19" t="s">
        <v>705</v>
      </c>
      <c r="B19" t="s">
        <v>1055</v>
      </c>
      <c r="C19" t="s">
        <v>241</v>
      </c>
      <c r="D19" t="s">
        <v>1384</v>
      </c>
      <c r="E19" t="s">
        <v>1403</v>
      </c>
      <c r="F19" t="s">
        <v>1749</v>
      </c>
      <c r="G19" t="s">
        <v>1923</v>
      </c>
      <c r="H19" t="s">
        <v>1748</v>
      </c>
      <c r="I19" t="s">
        <v>2374</v>
      </c>
      <c r="J19" t="s">
        <v>2375</v>
      </c>
      <c r="K19" t="s">
        <v>2374</v>
      </c>
    </row>
    <row r="20" spans="1:11" x14ac:dyDescent="0.3">
      <c r="A20" t="s">
        <v>706</v>
      </c>
      <c r="B20" t="s">
        <v>1056</v>
      </c>
      <c r="C20" t="s">
        <v>203</v>
      </c>
      <c r="D20" t="s">
        <v>1383</v>
      </c>
      <c r="E20" t="s">
        <v>1404</v>
      </c>
      <c r="F20" t="s">
        <v>1750</v>
      </c>
      <c r="G20" t="s">
        <v>1924</v>
      </c>
      <c r="H20" t="s">
        <v>607</v>
      </c>
      <c r="I20" t="s">
        <v>2374</v>
      </c>
      <c r="J20" t="s">
        <v>2374</v>
      </c>
      <c r="K20" t="s">
        <v>2374</v>
      </c>
    </row>
    <row r="21" spans="1:11" x14ac:dyDescent="0.3">
      <c r="A21" t="s">
        <v>707</v>
      </c>
      <c r="B21" t="s">
        <v>1057</v>
      </c>
      <c r="C21" t="s">
        <v>246</v>
      </c>
      <c r="D21" t="s">
        <v>1385</v>
      </c>
      <c r="E21" t="s">
        <v>1405</v>
      </c>
      <c r="F21" t="s">
        <v>1740</v>
      </c>
      <c r="G21" t="s">
        <v>1925</v>
      </c>
      <c r="H21" t="s">
        <v>2167</v>
      </c>
      <c r="I21" t="s">
        <v>2374</v>
      </c>
      <c r="J21" t="s">
        <v>2374</v>
      </c>
      <c r="K21" t="s">
        <v>2374</v>
      </c>
    </row>
    <row r="22" spans="1:11" x14ac:dyDescent="0.3">
      <c r="A22" t="s">
        <v>708</v>
      </c>
      <c r="B22" t="s">
        <v>1058</v>
      </c>
      <c r="C22" t="s">
        <v>221</v>
      </c>
      <c r="D22" t="s">
        <v>1383</v>
      </c>
      <c r="E22" t="s">
        <v>1406</v>
      </c>
      <c r="F22" t="s">
        <v>1751</v>
      </c>
      <c r="G22" t="s">
        <v>1926</v>
      </c>
      <c r="H22" t="s">
        <v>2082</v>
      </c>
      <c r="I22" t="s">
        <v>2374</v>
      </c>
      <c r="J22" t="s">
        <v>2375</v>
      </c>
      <c r="K22" t="s">
        <v>2374</v>
      </c>
    </row>
    <row r="23" spans="1:11" x14ac:dyDescent="0.3">
      <c r="A23" t="s">
        <v>709</v>
      </c>
      <c r="B23" t="s">
        <v>1059</v>
      </c>
      <c r="C23" t="s">
        <v>248</v>
      </c>
      <c r="D23" t="s">
        <v>1385</v>
      </c>
      <c r="E23" t="s">
        <v>1407</v>
      </c>
      <c r="F23" t="s">
        <v>1740</v>
      </c>
      <c r="G23" t="s">
        <v>1927</v>
      </c>
      <c r="H23" t="s">
        <v>2168</v>
      </c>
      <c r="I23" t="s">
        <v>2374</v>
      </c>
      <c r="J23" t="s">
        <v>2374</v>
      </c>
      <c r="K23" t="s">
        <v>2374</v>
      </c>
    </row>
    <row r="24" spans="1:11" x14ac:dyDescent="0.3">
      <c r="A24" t="s">
        <v>710</v>
      </c>
      <c r="B24" t="s">
        <v>1060</v>
      </c>
      <c r="C24" t="s">
        <v>203</v>
      </c>
      <c r="D24" t="s">
        <v>1385</v>
      </c>
      <c r="E24" t="s">
        <v>1408</v>
      </c>
      <c r="F24" t="s">
        <v>1740</v>
      </c>
      <c r="G24" t="s">
        <v>577</v>
      </c>
      <c r="H24" t="s">
        <v>2169</v>
      </c>
      <c r="I24" t="s">
        <v>2374</v>
      </c>
      <c r="J24" t="s">
        <v>2374</v>
      </c>
      <c r="K24" t="s">
        <v>2374</v>
      </c>
    </row>
    <row r="25" spans="1:11" x14ac:dyDescent="0.3">
      <c r="A25" t="s">
        <v>711</v>
      </c>
      <c r="B25" t="s">
        <v>1061</v>
      </c>
      <c r="C25" t="s">
        <v>238</v>
      </c>
      <c r="D25" t="s">
        <v>1384</v>
      </c>
      <c r="E25" t="s">
        <v>1409</v>
      </c>
      <c r="F25" t="s">
        <v>1752</v>
      </c>
      <c r="G25" t="s">
        <v>1928</v>
      </c>
      <c r="H25" t="s">
        <v>2170</v>
      </c>
      <c r="I25" t="s">
        <v>2374</v>
      </c>
      <c r="J25" t="s">
        <v>2374</v>
      </c>
      <c r="K25" t="s">
        <v>2375</v>
      </c>
    </row>
    <row r="26" spans="1:11" x14ac:dyDescent="0.3">
      <c r="A26" t="s">
        <v>712</v>
      </c>
      <c r="B26" t="s">
        <v>1062</v>
      </c>
      <c r="C26" t="s">
        <v>206</v>
      </c>
      <c r="D26" t="s">
        <v>1384</v>
      </c>
      <c r="E26" t="s">
        <v>1410</v>
      </c>
      <c r="F26" t="s">
        <v>1753</v>
      </c>
      <c r="G26" t="s">
        <v>522</v>
      </c>
      <c r="H26" t="s">
        <v>2171</v>
      </c>
      <c r="I26" t="s">
        <v>2374</v>
      </c>
      <c r="J26" t="s">
        <v>2374</v>
      </c>
      <c r="K26" t="s">
        <v>2375</v>
      </c>
    </row>
    <row r="27" spans="1:11" x14ac:dyDescent="0.3">
      <c r="A27" t="s">
        <v>713</v>
      </c>
      <c r="B27" t="s">
        <v>1063</v>
      </c>
      <c r="C27" t="s">
        <v>246</v>
      </c>
      <c r="D27" t="s">
        <v>1383</v>
      </c>
      <c r="E27" t="s">
        <v>1411</v>
      </c>
      <c r="F27" t="s">
        <v>571</v>
      </c>
      <c r="G27" t="s">
        <v>1929</v>
      </c>
      <c r="H27" t="s">
        <v>2172</v>
      </c>
      <c r="I27" t="s">
        <v>2374</v>
      </c>
      <c r="J27" t="s">
        <v>2374</v>
      </c>
      <c r="K27" t="s">
        <v>2375</v>
      </c>
    </row>
    <row r="28" spans="1:11" x14ac:dyDescent="0.3">
      <c r="A28" t="s">
        <v>714</v>
      </c>
      <c r="B28" t="s">
        <v>1064</v>
      </c>
      <c r="C28" t="s">
        <v>196</v>
      </c>
      <c r="D28" t="s">
        <v>1385</v>
      </c>
      <c r="E28" t="s">
        <v>1412</v>
      </c>
      <c r="F28" t="s">
        <v>1740</v>
      </c>
      <c r="G28" t="s">
        <v>1930</v>
      </c>
      <c r="H28" t="s">
        <v>2173</v>
      </c>
      <c r="I28" t="s">
        <v>2374</v>
      </c>
      <c r="J28" t="s">
        <v>2374</v>
      </c>
      <c r="K28" t="s">
        <v>2375</v>
      </c>
    </row>
    <row r="29" spans="1:11" x14ac:dyDescent="0.3">
      <c r="A29" t="s">
        <v>715</v>
      </c>
      <c r="B29" t="s">
        <v>1065</v>
      </c>
      <c r="C29" t="s">
        <v>232</v>
      </c>
      <c r="D29" t="s">
        <v>1383</v>
      </c>
      <c r="E29" t="s">
        <v>1413</v>
      </c>
      <c r="F29" t="s">
        <v>1754</v>
      </c>
      <c r="G29" t="s">
        <v>1931</v>
      </c>
      <c r="H29" t="s">
        <v>384</v>
      </c>
      <c r="I29" t="s">
        <v>2374</v>
      </c>
      <c r="J29" t="s">
        <v>2375</v>
      </c>
      <c r="K29" t="s">
        <v>2374</v>
      </c>
    </row>
    <row r="30" spans="1:11" x14ac:dyDescent="0.3">
      <c r="A30" t="s">
        <v>716</v>
      </c>
      <c r="B30" t="s">
        <v>1066</v>
      </c>
      <c r="C30" t="s">
        <v>247</v>
      </c>
      <c r="D30" t="s">
        <v>1385</v>
      </c>
      <c r="E30" t="s">
        <v>1414</v>
      </c>
      <c r="F30" t="s">
        <v>1740</v>
      </c>
      <c r="G30" t="s">
        <v>429</v>
      </c>
      <c r="H30" t="s">
        <v>2174</v>
      </c>
      <c r="I30" t="s">
        <v>2374</v>
      </c>
      <c r="J30" t="s">
        <v>2375</v>
      </c>
      <c r="K30" t="s">
        <v>2374</v>
      </c>
    </row>
    <row r="31" spans="1:11" x14ac:dyDescent="0.3">
      <c r="A31" t="s">
        <v>717</v>
      </c>
      <c r="B31" t="s">
        <v>1067</v>
      </c>
      <c r="C31" t="s">
        <v>193</v>
      </c>
      <c r="D31" t="s">
        <v>1384</v>
      </c>
      <c r="E31" t="s">
        <v>1415</v>
      </c>
      <c r="F31" t="s">
        <v>1755</v>
      </c>
      <c r="G31" t="s">
        <v>1932</v>
      </c>
      <c r="H31" t="s">
        <v>1858</v>
      </c>
      <c r="I31" t="s">
        <v>2374</v>
      </c>
      <c r="J31" t="s">
        <v>2375</v>
      </c>
      <c r="K31" t="s">
        <v>2375</v>
      </c>
    </row>
    <row r="32" spans="1:11" x14ac:dyDescent="0.3">
      <c r="A32" t="s">
        <v>718</v>
      </c>
      <c r="B32" t="s">
        <v>1068</v>
      </c>
      <c r="C32" t="s">
        <v>230</v>
      </c>
      <c r="D32" t="s">
        <v>1384</v>
      </c>
      <c r="E32" t="s">
        <v>1416</v>
      </c>
      <c r="F32" t="s">
        <v>524</v>
      </c>
      <c r="G32" t="s">
        <v>536</v>
      </c>
      <c r="H32" t="s">
        <v>1750</v>
      </c>
      <c r="I32" t="s">
        <v>2374</v>
      </c>
      <c r="J32" t="s">
        <v>2374</v>
      </c>
      <c r="K32" t="s">
        <v>2374</v>
      </c>
    </row>
    <row r="33" spans="1:11" x14ac:dyDescent="0.3">
      <c r="A33" t="s">
        <v>719</v>
      </c>
      <c r="B33" t="s">
        <v>1069</v>
      </c>
      <c r="C33" t="s">
        <v>227</v>
      </c>
      <c r="D33" t="s">
        <v>1384</v>
      </c>
      <c r="E33" t="s">
        <v>1417</v>
      </c>
      <c r="F33" t="s">
        <v>1756</v>
      </c>
      <c r="G33" t="s">
        <v>649</v>
      </c>
      <c r="H33" t="s">
        <v>2175</v>
      </c>
      <c r="I33" t="s">
        <v>2374</v>
      </c>
      <c r="J33" t="s">
        <v>2374</v>
      </c>
      <c r="K33" t="s">
        <v>2374</v>
      </c>
    </row>
    <row r="34" spans="1:11" x14ac:dyDescent="0.3">
      <c r="A34" t="s">
        <v>720</v>
      </c>
      <c r="B34" t="s">
        <v>1070</v>
      </c>
      <c r="C34" t="s">
        <v>243</v>
      </c>
      <c r="D34" t="s">
        <v>1385</v>
      </c>
      <c r="E34" t="s">
        <v>1418</v>
      </c>
      <c r="F34" t="s">
        <v>1740</v>
      </c>
      <c r="G34" t="s">
        <v>1933</v>
      </c>
      <c r="H34" t="s">
        <v>2176</v>
      </c>
      <c r="I34" t="s">
        <v>2374</v>
      </c>
      <c r="J34" t="s">
        <v>2374</v>
      </c>
      <c r="K34" t="s">
        <v>2375</v>
      </c>
    </row>
    <row r="35" spans="1:11" x14ac:dyDescent="0.3">
      <c r="A35" t="s">
        <v>721</v>
      </c>
      <c r="B35" t="s">
        <v>1071</v>
      </c>
      <c r="C35" t="s">
        <v>242</v>
      </c>
      <c r="D35" t="s">
        <v>1385</v>
      </c>
      <c r="E35" t="s">
        <v>1419</v>
      </c>
      <c r="F35" t="s">
        <v>1740</v>
      </c>
      <c r="G35" t="s">
        <v>1762</v>
      </c>
      <c r="H35" t="s">
        <v>2177</v>
      </c>
      <c r="I35" t="s">
        <v>2374</v>
      </c>
      <c r="J35" t="s">
        <v>2374</v>
      </c>
      <c r="K35" t="s">
        <v>2375</v>
      </c>
    </row>
    <row r="36" spans="1:11" x14ac:dyDescent="0.3">
      <c r="A36" t="s">
        <v>722</v>
      </c>
      <c r="B36" t="s">
        <v>1072</v>
      </c>
      <c r="C36" t="s">
        <v>208</v>
      </c>
      <c r="D36" t="s">
        <v>1385</v>
      </c>
      <c r="E36" t="s">
        <v>1420</v>
      </c>
      <c r="F36" t="s">
        <v>1740</v>
      </c>
      <c r="G36" t="s">
        <v>1934</v>
      </c>
      <c r="H36" t="s">
        <v>2178</v>
      </c>
      <c r="I36" t="s">
        <v>2374</v>
      </c>
      <c r="J36" t="s">
        <v>2374</v>
      </c>
      <c r="K36" t="s">
        <v>2374</v>
      </c>
    </row>
    <row r="37" spans="1:11" x14ac:dyDescent="0.3">
      <c r="A37" t="s">
        <v>723</v>
      </c>
      <c r="B37" t="s">
        <v>1073</v>
      </c>
      <c r="C37" t="s">
        <v>230</v>
      </c>
      <c r="D37" t="s">
        <v>1385</v>
      </c>
      <c r="E37" t="s">
        <v>1421</v>
      </c>
      <c r="F37" t="s">
        <v>1740</v>
      </c>
      <c r="G37" t="s">
        <v>1935</v>
      </c>
      <c r="H37" t="s">
        <v>2179</v>
      </c>
      <c r="I37" t="s">
        <v>2374</v>
      </c>
      <c r="J37" t="s">
        <v>2374</v>
      </c>
      <c r="K37" t="s">
        <v>2374</v>
      </c>
    </row>
    <row r="38" spans="1:11" x14ac:dyDescent="0.3">
      <c r="A38" t="s">
        <v>724</v>
      </c>
      <c r="B38" t="s">
        <v>1074</v>
      </c>
      <c r="C38" t="s">
        <v>244</v>
      </c>
      <c r="D38" t="s">
        <v>1385</v>
      </c>
      <c r="E38" t="s">
        <v>1422</v>
      </c>
      <c r="F38" t="s">
        <v>1740</v>
      </c>
      <c r="G38" t="s">
        <v>373</v>
      </c>
      <c r="H38" t="s">
        <v>2180</v>
      </c>
      <c r="I38" t="s">
        <v>2374</v>
      </c>
      <c r="J38" t="s">
        <v>2374</v>
      </c>
      <c r="K38" t="s">
        <v>2374</v>
      </c>
    </row>
    <row r="39" spans="1:11" x14ac:dyDescent="0.3">
      <c r="A39" t="s">
        <v>725</v>
      </c>
      <c r="B39" t="s">
        <v>1075</v>
      </c>
      <c r="C39" t="s">
        <v>238</v>
      </c>
      <c r="D39" t="s">
        <v>1385</v>
      </c>
      <c r="E39" t="s">
        <v>1423</v>
      </c>
      <c r="F39" t="s">
        <v>1740</v>
      </c>
      <c r="G39" t="s">
        <v>1936</v>
      </c>
      <c r="H39" t="s">
        <v>520</v>
      </c>
      <c r="I39" t="s">
        <v>2374</v>
      </c>
      <c r="J39" t="s">
        <v>2374</v>
      </c>
      <c r="K39" t="s">
        <v>2374</v>
      </c>
    </row>
    <row r="40" spans="1:11" x14ac:dyDescent="0.3">
      <c r="A40" t="s">
        <v>726</v>
      </c>
      <c r="B40" t="s">
        <v>1076</v>
      </c>
      <c r="C40" t="s">
        <v>217</v>
      </c>
      <c r="D40" t="s">
        <v>1384</v>
      </c>
      <c r="E40" t="s">
        <v>1424</v>
      </c>
      <c r="F40" t="s">
        <v>597</v>
      </c>
      <c r="G40" t="s">
        <v>1925</v>
      </c>
      <c r="H40" t="s">
        <v>2103</v>
      </c>
      <c r="I40" t="s">
        <v>2374</v>
      </c>
      <c r="J40" t="s">
        <v>2374</v>
      </c>
      <c r="K40" t="s">
        <v>2375</v>
      </c>
    </row>
    <row r="41" spans="1:11" x14ac:dyDescent="0.3">
      <c r="A41" t="s">
        <v>727</v>
      </c>
      <c r="B41" t="s">
        <v>1077</v>
      </c>
      <c r="C41" t="s">
        <v>240</v>
      </c>
      <c r="D41" t="s">
        <v>1383</v>
      </c>
      <c r="E41" t="s">
        <v>1425</v>
      </c>
      <c r="F41" t="s">
        <v>1757</v>
      </c>
      <c r="G41" t="s">
        <v>266</v>
      </c>
      <c r="H41" t="s">
        <v>1869</v>
      </c>
      <c r="I41" t="s">
        <v>2374</v>
      </c>
      <c r="J41" t="s">
        <v>2374</v>
      </c>
      <c r="K41" t="s">
        <v>2374</v>
      </c>
    </row>
    <row r="42" spans="1:11" x14ac:dyDescent="0.3">
      <c r="A42" t="s">
        <v>728</v>
      </c>
      <c r="B42" t="s">
        <v>1078</v>
      </c>
      <c r="C42" t="s">
        <v>209</v>
      </c>
      <c r="D42" t="s">
        <v>1385</v>
      </c>
      <c r="E42" t="s">
        <v>1426</v>
      </c>
      <c r="F42" t="s">
        <v>1740</v>
      </c>
      <c r="G42" t="s">
        <v>1937</v>
      </c>
      <c r="H42" t="s">
        <v>2181</v>
      </c>
      <c r="I42" t="s">
        <v>2374</v>
      </c>
      <c r="J42" t="s">
        <v>2374</v>
      </c>
      <c r="K42" t="s">
        <v>2375</v>
      </c>
    </row>
    <row r="43" spans="1:11" x14ac:dyDescent="0.3">
      <c r="A43" t="s">
        <v>729</v>
      </c>
      <c r="B43" t="s">
        <v>1079</v>
      </c>
      <c r="C43" t="s">
        <v>202</v>
      </c>
      <c r="D43" t="s">
        <v>1383</v>
      </c>
      <c r="E43" t="s">
        <v>1427</v>
      </c>
      <c r="F43" t="s">
        <v>315</v>
      </c>
      <c r="G43" t="s">
        <v>1938</v>
      </c>
      <c r="H43" t="s">
        <v>2182</v>
      </c>
      <c r="I43" t="s">
        <v>2374</v>
      </c>
      <c r="J43" t="s">
        <v>2374</v>
      </c>
      <c r="K43" t="s">
        <v>2374</v>
      </c>
    </row>
    <row r="44" spans="1:11" x14ac:dyDescent="0.3">
      <c r="A44" t="s">
        <v>730</v>
      </c>
      <c r="B44" t="s">
        <v>1080</v>
      </c>
      <c r="C44" t="s">
        <v>190</v>
      </c>
      <c r="D44" t="s">
        <v>1383</v>
      </c>
      <c r="E44" t="s">
        <v>1428</v>
      </c>
      <c r="F44" t="s">
        <v>447</v>
      </c>
      <c r="G44" t="s">
        <v>1812</v>
      </c>
      <c r="H44" t="s">
        <v>2183</v>
      </c>
      <c r="I44" t="s">
        <v>2374</v>
      </c>
      <c r="J44" t="s">
        <v>2374</v>
      </c>
      <c r="K44" t="s">
        <v>2374</v>
      </c>
    </row>
    <row r="45" spans="1:11" x14ac:dyDescent="0.3">
      <c r="A45" t="s">
        <v>731</v>
      </c>
      <c r="B45" t="s">
        <v>1081</v>
      </c>
      <c r="C45" t="s">
        <v>226</v>
      </c>
      <c r="D45" t="s">
        <v>1383</v>
      </c>
      <c r="E45" t="s">
        <v>1429</v>
      </c>
      <c r="F45" t="s">
        <v>626</v>
      </c>
      <c r="G45" t="s">
        <v>1939</v>
      </c>
      <c r="H45" t="s">
        <v>380</v>
      </c>
      <c r="I45" t="s">
        <v>2374</v>
      </c>
      <c r="J45" t="s">
        <v>2374</v>
      </c>
      <c r="K45" t="s">
        <v>2375</v>
      </c>
    </row>
    <row r="46" spans="1:11" x14ac:dyDescent="0.3">
      <c r="A46" t="s">
        <v>732</v>
      </c>
      <c r="B46" t="s">
        <v>1082</v>
      </c>
      <c r="C46" t="s">
        <v>247</v>
      </c>
      <c r="D46" t="s">
        <v>1383</v>
      </c>
      <c r="E46" t="s">
        <v>1430</v>
      </c>
      <c r="F46" t="s">
        <v>1758</v>
      </c>
      <c r="G46" t="s">
        <v>605</v>
      </c>
      <c r="H46" t="s">
        <v>1736</v>
      </c>
      <c r="I46" t="s">
        <v>2374</v>
      </c>
      <c r="J46" t="s">
        <v>2374</v>
      </c>
      <c r="K46" t="s">
        <v>2374</v>
      </c>
    </row>
    <row r="47" spans="1:11" x14ac:dyDescent="0.3">
      <c r="A47" t="s">
        <v>733</v>
      </c>
      <c r="B47" t="s">
        <v>1083</v>
      </c>
      <c r="C47" t="s">
        <v>246</v>
      </c>
      <c r="D47" t="s">
        <v>1383</v>
      </c>
      <c r="E47" t="s">
        <v>1431</v>
      </c>
      <c r="F47" t="s">
        <v>1759</v>
      </c>
      <c r="G47" t="s">
        <v>603</v>
      </c>
      <c r="H47" t="s">
        <v>2184</v>
      </c>
      <c r="I47" t="s">
        <v>2374</v>
      </c>
      <c r="J47" t="s">
        <v>2374</v>
      </c>
      <c r="K47" t="s">
        <v>2374</v>
      </c>
    </row>
    <row r="48" spans="1:11" x14ac:dyDescent="0.3">
      <c r="A48" t="s">
        <v>734</v>
      </c>
      <c r="B48" t="s">
        <v>1084</v>
      </c>
      <c r="C48" t="s">
        <v>239</v>
      </c>
      <c r="D48" t="s">
        <v>1384</v>
      </c>
      <c r="E48" t="s">
        <v>1432</v>
      </c>
      <c r="F48" t="s">
        <v>1760</v>
      </c>
      <c r="G48" t="s">
        <v>1940</v>
      </c>
      <c r="H48" t="s">
        <v>2185</v>
      </c>
      <c r="I48" t="s">
        <v>2374</v>
      </c>
      <c r="J48" t="s">
        <v>2374</v>
      </c>
      <c r="K48" t="s">
        <v>2374</v>
      </c>
    </row>
    <row r="49" spans="1:11" x14ac:dyDescent="0.3">
      <c r="A49" t="s">
        <v>735</v>
      </c>
      <c r="B49" t="s">
        <v>1085</v>
      </c>
      <c r="C49" t="s">
        <v>201</v>
      </c>
      <c r="D49" t="s">
        <v>1383</v>
      </c>
      <c r="E49" t="s">
        <v>1433</v>
      </c>
      <c r="F49" t="s">
        <v>1761</v>
      </c>
      <c r="G49" t="s">
        <v>1818</v>
      </c>
      <c r="H49" t="s">
        <v>2186</v>
      </c>
      <c r="I49" t="s">
        <v>2374</v>
      </c>
      <c r="J49" t="s">
        <v>2374</v>
      </c>
      <c r="K49" t="s">
        <v>2374</v>
      </c>
    </row>
    <row r="50" spans="1:11" x14ac:dyDescent="0.3">
      <c r="A50" t="s">
        <v>736</v>
      </c>
      <c r="B50" t="s">
        <v>1086</v>
      </c>
      <c r="C50" t="s">
        <v>226</v>
      </c>
      <c r="D50" t="s">
        <v>1384</v>
      </c>
      <c r="E50" t="s">
        <v>1434</v>
      </c>
      <c r="F50" t="s">
        <v>598</v>
      </c>
      <c r="G50" t="s">
        <v>636</v>
      </c>
      <c r="H50" t="s">
        <v>2187</v>
      </c>
      <c r="I50" t="s">
        <v>2374</v>
      </c>
      <c r="J50" t="s">
        <v>2374</v>
      </c>
      <c r="K50" t="s">
        <v>2374</v>
      </c>
    </row>
    <row r="51" spans="1:11" x14ac:dyDescent="0.3">
      <c r="A51" t="s">
        <v>737</v>
      </c>
      <c r="B51" t="s">
        <v>1087</v>
      </c>
      <c r="C51" t="s">
        <v>240</v>
      </c>
      <c r="D51" t="s">
        <v>1383</v>
      </c>
      <c r="E51" t="s">
        <v>1435</v>
      </c>
      <c r="F51" t="s">
        <v>1762</v>
      </c>
      <c r="G51" t="s">
        <v>1941</v>
      </c>
      <c r="H51" t="s">
        <v>627</v>
      </c>
      <c r="I51" t="s">
        <v>2374</v>
      </c>
      <c r="J51" t="s">
        <v>2374</v>
      </c>
      <c r="K51" t="s">
        <v>2374</v>
      </c>
    </row>
    <row r="52" spans="1:11" x14ac:dyDescent="0.3">
      <c r="A52" t="s">
        <v>738</v>
      </c>
      <c r="B52" t="s">
        <v>1088</v>
      </c>
      <c r="C52" t="s">
        <v>226</v>
      </c>
      <c r="D52" t="s">
        <v>1383</v>
      </c>
      <c r="E52" t="s">
        <v>1436</v>
      </c>
      <c r="F52" t="s">
        <v>1763</v>
      </c>
      <c r="G52" t="s">
        <v>1942</v>
      </c>
      <c r="H52" t="s">
        <v>2188</v>
      </c>
      <c r="I52" t="s">
        <v>2374</v>
      </c>
      <c r="J52" t="s">
        <v>2374</v>
      </c>
      <c r="K52" t="s">
        <v>2374</v>
      </c>
    </row>
    <row r="53" spans="1:11" x14ac:dyDescent="0.3">
      <c r="A53" t="s">
        <v>739</v>
      </c>
      <c r="B53" t="s">
        <v>1089</v>
      </c>
      <c r="C53" t="s">
        <v>238</v>
      </c>
      <c r="D53" t="s">
        <v>1385</v>
      </c>
      <c r="E53" t="s">
        <v>1437</v>
      </c>
      <c r="F53" t="s">
        <v>1740</v>
      </c>
      <c r="G53" t="s">
        <v>561</v>
      </c>
      <c r="H53" t="s">
        <v>2189</v>
      </c>
      <c r="I53" t="s">
        <v>2374</v>
      </c>
      <c r="J53" t="s">
        <v>2374</v>
      </c>
      <c r="K53" t="s">
        <v>2374</v>
      </c>
    </row>
    <row r="54" spans="1:11" x14ac:dyDescent="0.3">
      <c r="A54" t="s">
        <v>740</v>
      </c>
      <c r="B54" t="s">
        <v>1090</v>
      </c>
      <c r="C54" t="s">
        <v>217</v>
      </c>
      <c r="D54" t="s">
        <v>1384</v>
      </c>
      <c r="E54" t="s">
        <v>1438</v>
      </c>
      <c r="F54" t="s">
        <v>1764</v>
      </c>
      <c r="G54" t="s">
        <v>612</v>
      </c>
      <c r="H54" t="s">
        <v>2164</v>
      </c>
      <c r="I54" t="s">
        <v>2374</v>
      </c>
      <c r="J54" t="s">
        <v>2374</v>
      </c>
      <c r="K54" t="s">
        <v>2374</v>
      </c>
    </row>
    <row r="55" spans="1:11" x14ac:dyDescent="0.3">
      <c r="A55" t="s">
        <v>741</v>
      </c>
      <c r="B55" t="s">
        <v>1091</v>
      </c>
      <c r="C55" t="s">
        <v>236</v>
      </c>
      <c r="D55" t="s">
        <v>1383</v>
      </c>
      <c r="E55" t="s">
        <v>1439</v>
      </c>
      <c r="F55" t="s">
        <v>1765</v>
      </c>
      <c r="G55" t="s">
        <v>328</v>
      </c>
      <c r="H55" t="s">
        <v>364</v>
      </c>
      <c r="I55" t="s">
        <v>2375</v>
      </c>
      <c r="J55" t="s">
        <v>2374</v>
      </c>
      <c r="K55" t="s">
        <v>2374</v>
      </c>
    </row>
    <row r="56" spans="1:11" x14ac:dyDescent="0.3">
      <c r="A56" t="s">
        <v>742</v>
      </c>
      <c r="B56" t="s">
        <v>1092</v>
      </c>
      <c r="C56" t="s">
        <v>198</v>
      </c>
      <c r="D56" t="s">
        <v>1383</v>
      </c>
      <c r="E56" t="s">
        <v>1440</v>
      </c>
      <c r="F56" t="s">
        <v>1766</v>
      </c>
      <c r="G56" t="s">
        <v>1943</v>
      </c>
      <c r="H56" t="s">
        <v>587</v>
      </c>
      <c r="I56" t="s">
        <v>2375</v>
      </c>
      <c r="J56" t="s">
        <v>2374</v>
      </c>
      <c r="K56" t="s">
        <v>2374</v>
      </c>
    </row>
    <row r="57" spans="1:11" x14ac:dyDescent="0.3">
      <c r="A57" t="s">
        <v>743</v>
      </c>
      <c r="B57" t="s">
        <v>1093</v>
      </c>
      <c r="C57" t="s">
        <v>227</v>
      </c>
      <c r="D57" t="s">
        <v>1384</v>
      </c>
      <c r="E57" t="s">
        <v>1441</v>
      </c>
      <c r="F57" t="s">
        <v>1767</v>
      </c>
      <c r="G57" t="s">
        <v>1944</v>
      </c>
      <c r="H57" t="s">
        <v>2190</v>
      </c>
      <c r="I57" t="s">
        <v>2375</v>
      </c>
      <c r="J57" t="s">
        <v>2374</v>
      </c>
      <c r="K57" t="s">
        <v>2374</v>
      </c>
    </row>
    <row r="58" spans="1:11" x14ac:dyDescent="0.3">
      <c r="A58" t="s">
        <v>744</v>
      </c>
      <c r="B58" t="s">
        <v>1094</v>
      </c>
      <c r="C58" t="s">
        <v>228</v>
      </c>
      <c r="D58" t="s">
        <v>1383</v>
      </c>
      <c r="E58" t="s">
        <v>1442</v>
      </c>
      <c r="F58" t="s">
        <v>1768</v>
      </c>
      <c r="G58" t="s">
        <v>556</v>
      </c>
      <c r="H58" t="s">
        <v>2191</v>
      </c>
      <c r="I58" t="s">
        <v>2375</v>
      </c>
      <c r="J58" t="s">
        <v>2375</v>
      </c>
      <c r="K58" t="s">
        <v>2374</v>
      </c>
    </row>
    <row r="59" spans="1:11" x14ac:dyDescent="0.3">
      <c r="A59" t="s">
        <v>745</v>
      </c>
      <c r="B59" t="s">
        <v>1095</v>
      </c>
      <c r="C59" t="s">
        <v>209</v>
      </c>
      <c r="D59" t="s">
        <v>1383</v>
      </c>
      <c r="E59" t="s">
        <v>1443</v>
      </c>
      <c r="F59" t="s">
        <v>527</v>
      </c>
      <c r="G59" t="s">
        <v>1945</v>
      </c>
      <c r="H59" t="s">
        <v>2192</v>
      </c>
      <c r="I59" t="s">
        <v>2374</v>
      </c>
      <c r="J59" t="s">
        <v>2374</v>
      </c>
      <c r="K59" t="s">
        <v>2374</v>
      </c>
    </row>
    <row r="60" spans="1:11" x14ac:dyDescent="0.3">
      <c r="A60" t="s">
        <v>746</v>
      </c>
      <c r="B60" t="s">
        <v>1096</v>
      </c>
      <c r="C60" t="s">
        <v>223</v>
      </c>
      <c r="D60" t="s">
        <v>1385</v>
      </c>
      <c r="E60" t="s">
        <v>1444</v>
      </c>
      <c r="F60" t="s">
        <v>1740</v>
      </c>
      <c r="G60" t="s">
        <v>509</v>
      </c>
      <c r="H60" t="s">
        <v>2193</v>
      </c>
      <c r="I60" t="s">
        <v>2374</v>
      </c>
      <c r="J60" t="s">
        <v>2374</v>
      </c>
      <c r="K60" t="s">
        <v>2374</v>
      </c>
    </row>
    <row r="61" spans="1:11" x14ac:dyDescent="0.3">
      <c r="A61" t="s">
        <v>747</v>
      </c>
      <c r="B61" t="s">
        <v>1097</v>
      </c>
      <c r="C61" t="s">
        <v>223</v>
      </c>
      <c r="D61" t="s">
        <v>1385</v>
      </c>
      <c r="E61" t="s">
        <v>1445</v>
      </c>
      <c r="F61" t="s">
        <v>1740</v>
      </c>
      <c r="G61" t="s">
        <v>1946</v>
      </c>
      <c r="H61" t="s">
        <v>431</v>
      </c>
      <c r="I61" t="s">
        <v>2374</v>
      </c>
      <c r="J61" t="s">
        <v>2374</v>
      </c>
      <c r="K61" t="s">
        <v>2374</v>
      </c>
    </row>
    <row r="62" spans="1:11" x14ac:dyDescent="0.3">
      <c r="A62" t="s">
        <v>748</v>
      </c>
      <c r="B62" t="s">
        <v>1098</v>
      </c>
      <c r="C62" t="s">
        <v>196</v>
      </c>
      <c r="D62" t="s">
        <v>1384</v>
      </c>
      <c r="E62" t="s">
        <v>1446</v>
      </c>
      <c r="F62" t="s">
        <v>1769</v>
      </c>
      <c r="G62" t="s">
        <v>1947</v>
      </c>
      <c r="H62" t="s">
        <v>452</v>
      </c>
      <c r="I62" t="s">
        <v>2375</v>
      </c>
      <c r="J62" t="s">
        <v>2375</v>
      </c>
      <c r="K62" t="s">
        <v>2374</v>
      </c>
    </row>
    <row r="63" spans="1:11" x14ac:dyDescent="0.3">
      <c r="A63" t="s">
        <v>749</v>
      </c>
      <c r="B63" t="s">
        <v>1099</v>
      </c>
      <c r="C63" t="s">
        <v>228</v>
      </c>
      <c r="D63" t="s">
        <v>1383</v>
      </c>
      <c r="E63" t="s">
        <v>1447</v>
      </c>
      <c r="F63" t="s">
        <v>1770</v>
      </c>
      <c r="G63" t="s">
        <v>493</v>
      </c>
      <c r="H63" t="s">
        <v>429</v>
      </c>
      <c r="I63" t="s">
        <v>2375</v>
      </c>
      <c r="J63" t="s">
        <v>2375</v>
      </c>
      <c r="K63" t="s">
        <v>2374</v>
      </c>
    </row>
    <row r="64" spans="1:11" x14ac:dyDescent="0.3">
      <c r="A64" t="s">
        <v>750</v>
      </c>
      <c r="B64" t="s">
        <v>1100</v>
      </c>
      <c r="C64" t="s">
        <v>244</v>
      </c>
      <c r="D64" t="s">
        <v>1383</v>
      </c>
      <c r="E64" t="s">
        <v>1448</v>
      </c>
      <c r="F64" t="s">
        <v>1771</v>
      </c>
      <c r="G64" t="s">
        <v>1855</v>
      </c>
      <c r="H64" t="s">
        <v>2194</v>
      </c>
      <c r="I64" t="s">
        <v>2375</v>
      </c>
      <c r="J64" t="s">
        <v>2374</v>
      </c>
      <c r="K64" t="s">
        <v>2374</v>
      </c>
    </row>
    <row r="65" spans="1:11" x14ac:dyDescent="0.3">
      <c r="A65" t="s">
        <v>751</v>
      </c>
      <c r="B65" t="s">
        <v>1101</v>
      </c>
      <c r="C65" t="s">
        <v>242</v>
      </c>
      <c r="D65" t="s">
        <v>1383</v>
      </c>
      <c r="E65" t="s">
        <v>1449</v>
      </c>
      <c r="F65" t="s">
        <v>1772</v>
      </c>
      <c r="G65" t="s">
        <v>1948</v>
      </c>
      <c r="H65" t="s">
        <v>2195</v>
      </c>
      <c r="I65" t="s">
        <v>2374</v>
      </c>
      <c r="J65" t="s">
        <v>2375</v>
      </c>
      <c r="K65" t="s">
        <v>2374</v>
      </c>
    </row>
    <row r="66" spans="1:11" x14ac:dyDescent="0.3">
      <c r="A66" t="s">
        <v>752</v>
      </c>
      <c r="B66" t="s">
        <v>1102</v>
      </c>
      <c r="C66" t="s">
        <v>209</v>
      </c>
      <c r="D66" t="s">
        <v>1383</v>
      </c>
      <c r="E66" t="s">
        <v>1450</v>
      </c>
      <c r="F66" t="s">
        <v>1773</v>
      </c>
      <c r="G66" t="s">
        <v>1949</v>
      </c>
      <c r="H66" t="s">
        <v>2196</v>
      </c>
      <c r="I66" t="s">
        <v>2374</v>
      </c>
      <c r="J66" t="s">
        <v>2374</v>
      </c>
      <c r="K66" t="s">
        <v>2374</v>
      </c>
    </row>
    <row r="67" spans="1:11" x14ac:dyDescent="0.3">
      <c r="A67" t="s">
        <v>753</v>
      </c>
      <c r="B67" t="s">
        <v>1103</v>
      </c>
      <c r="C67" t="s">
        <v>239</v>
      </c>
      <c r="D67" t="s">
        <v>1383</v>
      </c>
      <c r="E67" t="s">
        <v>1451</v>
      </c>
      <c r="F67" t="s">
        <v>1774</v>
      </c>
      <c r="G67" t="s">
        <v>1950</v>
      </c>
      <c r="H67" t="s">
        <v>2197</v>
      </c>
      <c r="I67" t="s">
        <v>2374</v>
      </c>
      <c r="J67" t="s">
        <v>2374</v>
      </c>
      <c r="K67" t="s">
        <v>2374</v>
      </c>
    </row>
    <row r="68" spans="1:11" x14ac:dyDescent="0.3">
      <c r="A68" t="s">
        <v>754</v>
      </c>
      <c r="B68" t="s">
        <v>1104</v>
      </c>
      <c r="C68" t="s">
        <v>199</v>
      </c>
      <c r="D68" t="s">
        <v>1384</v>
      </c>
      <c r="E68" t="s">
        <v>1452</v>
      </c>
      <c r="F68" t="s">
        <v>1775</v>
      </c>
      <c r="G68" t="s">
        <v>529</v>
      </c>
      <c r="H68" t="s">
        <v>2198</v>
      </c>
      <c r="I68" t="s">
        <v>2374</v>
      </c>
      <c r="J68" t="s">
        <v>2374</v>
      </c>
      <c r="K68" t="s">
        <v>2374</v>
      </c>
    </row>
    <row r="69" spans="1:11" x14ac:dyDescent="0.3">
      <c r="A69" t="s">
        <v>755</v>
      </c>
      <c r="B69" t="s">
        <v>1105</v>
      </c>
      <c r="C69" t="s">
        <v>216</v>
      </c>
      <c r="D69" t="s">
        <v>1384</v>
      </c>
      <c r="E69" t="s">
        <v>1453</v>
      </c>
      <c r="F69" t="s">
        <v>646</v>
      </c>
      <c r="G69" t="s">
        <v>1951</v>
      </c>
      <c r="H69" t="s">
        <v>2199</v>
      </c>
      <c r="I69" t="s">
        <v>2375</v>
      </c>
      <c r="J69" t="s">
        <v>2375</v>
      </c>
      <c r="K69" t="s">
        <v>2374</v>
      </c>
    </row>
    <row r="70" spans="1:11" x14ac:dyDescent="0.3">
      <c r="A70" t="s">
        <v>756</v>
      </c>
      <c r="B70" t="s">
        <v>1106</v>
      </c>
      <c r="C70" t="s">
        <v>193</v>
      </c>
      <c r="D70" t="s">
        <v>1385</v>
      </c>
      <c r="E70" t="s">
        <v>1454</v>
      </c>
      <c r="F70" t="s">
        <v>1740</v>
      </c>
      <c r="G70" t="s">
        <v>1952</v>
      </c>
      <c r="H70" t="s">
        <v>2200</v>
      </c>
      <c r="I70" t="s">
        <v>2374</v>
      </c>
      <c r="J70" t="s">
        <v>2374</v>
      </c>
      <c r="K70" t="s">
        <v>2374</v>
      </c>
    </row>
    <row r="71" spans="1:11" x14ac:dyDescent="0.3">
      <c r="A71" t="s">
        <v>757</v>
      </c>
      <c r="B71" t="s">
        <v>1107</v>
      </c>
      <c r="C71" t="s">
        <v>237</v>
      </c>
      <c r="D71" t="s">
        <v>1384</v>
      </c>
      <c r="E71" t="s">
        <v>1455</v>
      </c>
      <c r="F71" t="s">
        <v>1776</v>
      </c>
      <c r="G71" t="s">
        <v>1953</v>
      </c>
      <c r="H71" t="s">
        <v>2088</v>
      </c>
      <c r="I71" t="s">
        <v>2374</v>
      </c>
      <c r="J71" t="s">
        <v>2374</v>
      </c>
      <c r="K71" t="s">
        <v>2374</v>
      </c>
    </row>
    <row r="72" spans="1:11" x14ac:dyDescent="0.3">
      <c r="A72" t="s">
        <v>758</v>
      </c>
      <c r="B72" t="s">
        <v>1108</v>
      </c>
      <c r="C72" t="s">
        <v>237</v>
      </c>
      <c r="D72" t="s">
        <v>1385</v>
      </c>
      <c r="E72" t="s">
        <v>1456</v>
      </c>
      <c r="F72" t="s">
        <v>1740</v>
      </c>
      <c r="G72" t="s">
        <v>1954</v>
      </c>
      <c r="H72" t="s">
        <v>2201</v>
      </c>
      <c r="I72" t="s">
        <v>2375</v>
      </c>
      <c r="J72" t="s">
        <v>2374</v>
      </c>
      <c r="K72" t="s">
        <v>2374</v>
      </c>
    </row>
    <row r="73" spans="1:11" x14ac:dyDescent="0.3">
      <c r="A73" t="s">
        <v>759</v>
      </c>
      <c r="B73" t="s">
        <v>1109</v>
      </c>
      <c r="C73" t="s">
        <v>224</v>
      </c>
      <c r="D73" t="s">
        <v>1385</v>
      </c>
      <c r="E73" t="s">
        <v>1457</v>
      </c>
      <c r="F73" t="s">
        <v>1740</v>
      </c>
      <c r="G73" t="s">
        <v>1955</v>
      </c>
      <c r="H73" t="s">
        <v>355</v>
      </c>
      <c r="I73" t="s">
        <v>2374</v>
      </c>
      <c r="J73" t="s">
        <v>2374</v>
      </c>
      <c r="K73" t="s">
        <v>2374</v>
      </c>
    </row>
    <row r="74" spans="1:11" x14ac:dyDescent="0.3">
      <c r="A74" t="s">
        <v>760</v>
      </c>
      <c r="B74" t="s">
        <v>1110</v>
      </c>
      <c r="C74" t="s">
        <v>211</v>
      </c>
      <c r="D74" t="s">
        <v>1383</v>
      </c>
      <c r="E74" t="s">
        <v>1458</v>
      </c>
      <c r="F74" t="s">
        <v>1777</v>
      </c>
      <c r="G74" t="s">
        <v>617</v>
      </c>
      <c r="H74" t="s">
        <v>2202</v>
      </c>
      <c r="I74" t="s">
        <v>2374</v>
      </c>
      <c r="J74" t="s">
        <v>2374</v>
      </c>
      <c r="K74" t="s">
        <v>2374</v>
      </c>
    </row>
    <row r="75" spans="1:11" x14ac:dyDescent="0.3">
      <c r="A75" t="s">
        <v>761</v>
      </c>
      <c r="B75" t="s">
        <v>1111</v>
      </c>
      <c r="C75" t="s">
        <v>218</v>
      </c>
      <c r="D75" t="s">
        <v>1385</v>
      </c>
      <c r="E75" t="s">
        <v>1459</v>
      </c>
      <c r="F75" t="s">
        <v>1740</v>
      </c>
      <c r="G75" t="s">
        <v>1956</v>
      </c>
      <c r="H75" t="s">
        <v>2203</v>
      </c>
      <c r="I75" t="s">
        <v>2374</v>
      </c>
      <c r="J75" t="s">
        <v>2375</v>
      </c>
      <c r="K75" t="s">
        <v>2374</v>
      </c>
    </row>
    <row r="76" spans="1:11" x14ac:dyDescent="0.3">
      <c r="A76" t="s">
        <v>762</v>
      </c>
      <c r="B76" t="s">
        <v>1112</v>
      </c>
      <c r="C76" t="s">
        <v>222</v>
      </c>
      <c r="D76" t="s">
        <v>1384</v>
      </c>
      <c r="E76" t="s">
        <v>1460</v>
      </c>
      <c r="F76" t="s">
        <v>1778</v>
      </c>
      <c r="G76" t="s">
        <v>1957</v>
      </c>
      <c r="H76" t="s">
        <v>2204</v>
      </c>
      <c r="I76" t="s">
        <v>2374</v>
      </c>
      <c r="J76" t="s">
        <v>2375</v>
      </c>
      <c r="K76" t="s">
        <v>2374</v>
      </c>
    </row>
    <row r="77" spans="1:11" x14ac:dyDescent="0.3">
      <c r="A77" t="s">
        <v>763</v>
      </c>
      <c r="B77" t="s">
        <v>1113</v>
      </c>
      <c r="C77" t="s">
        <v>235</v>
      </c>
      <c r="D77" t="s">
        <v>1383</v>
      </c>
      <c r="E77" t="s">
        <v>1461</v>
      </c>
      <c r="F77" t="s">
        <v>1779</v>
      </c>
      <c r="G77" t="s">
        <v>1958</v>
      </c>
      <c r="H77" t="s">
        <v>2205</v>
      </c>
      <c r="I77" t="s">
        <v>2374</v>
      </c>
      <c r="J77" t="s">
        <v>2375</v>
      </c>
      <c r="K77" t="s">
        <v>2374</v>
      </c>
    </row>
    <row r="78" spans="1:11" x14ac:dyDescent="0.3">
      <c r="A78" t="s">
        <v>764</v>
      </c>
      <c r="B78" t="s">
        <v>1114</v>
      </c>
      <c r="C78" t="s">
        <v>226</v>
      </c>
      <c r="D78" t="s">
        <v>1384</v>
      </c>
      <c r="E78" t="s">
        <v>1462</v>
      </c>
      <c r="F78" t="s">
        <v>1780</v>
      </c>
      <c r="G78" t="s">
        <v>1959</v>
      </c>
      <c r="H78" t="s">
        <v>541</v>
      </c>
      <c r="I78" t="s">
        <v>2374</v>
      </c>
      <c r="J78" t="s">
        <v>2375</v>
      </c>
      <c r="K78" t="s">
        <v>2374</v>
      </c>
    </row>
    <row r="79" spans="1:11" x14ac:dyDescent="0.3">
      <c r="A79" t="s">
        <v>765</v>
      </c>
      <c r="B79" t="s">
        <v>1115</v>
      </c>
      <c r="C79" t="s">
        <v>201</v>
      </c>
      <c r="D79" t="s">
        <v>1384</v>
      </c>
      <c r="E79" t="s">
        <v>1463</v>
      </c>
      <c r="F79" t="s">
        <v>436</v>
      </c>
      <c r="G79" t="s">
        <v>486</v>
      </c>
      <c r="H79" t="s">
        <v>2206</v>
      </c>
      <c r="I79" t="s">
        <v>2374</v>
      </c>
      <c r="J79" t="s">
        <v>2374</v>
      </c>
      <c r="K79" t="s">
        <v>2374</v>
      </c>
    </row>
    <row r="80" spans="1:11" x14ac:dyDescent="0.3">
      <c r="A80" t="s">
        <v>766</v>
      </c>
      <c r="B80" t="s">
        <v>1116</v>
      </c>
      <c r="C80" t="s">
        <v>240</v>
      </c>
      <c r="D80" t="s">
        <v>1385</v>
      </c>
      <c r="E80" t="s">
        <v>1464</v>
      </c>
      <c r="F80" t="s">
        <v>1740</v>
      </c>
      <c r="G80" t="s">
        <v>558</v>
      </c>
      <c r="H80" t="s">
        <v>2207</v>
      </c>
      <c r="I80" t="s">
        <v>2374</v>
      </c>
      <c r="J80" t="s">
        <v>2374</v>
      </c>
      <c r="K80" t="s">
        <v>2374</v>
      </c>
    </row>
    <row r="81" spans="1:11" x14ac:dyDescent="0.3">
      <c r="A81" t="s">
        <v>767</v>
      </c>
      <c r="B81" t="s">
        <v>1117</v>
      </c>
      <c r="C81" t="s">
        <v>224</v>
      </c>
      <c r="D81" t="s">
        <v>1385</v>
      </c>
      <c r="E81" t="s">
        <v>1465</v>
      </c>
      <c r="F81" t="s">
        <v>1740</v>
      </c>
      <c r="G81" t="s">
        <v>1960</v>
      </c>
      <c r="H81" t="s">
        <v>2208</v>
      </c>
      <c r="I81" t="s">
        <v>2374</v>
      </c>
      <c r="J81" t="s">
        <v>2375</v>
      </c>
      <c r="K81" t="s">
        <v>2374</v>
      </c>
    </row>
    <row r="82" spans="1:11" x14ac:dyDescent="0.3">
      <c r="A82" t="s">
        <v>768</v>
      </c>
      <c r="B82" t="s">
        <v>1118</v>
      </c>
      <c r="C82" t="s">
        <v>216</v>
      </c>
      <c r="D82" t="s">
        <v>1384</v>
      </c>
      <c r="E82" t="s">
        <v>1466</v>
      </c>
      <c r="F82" t="s">
        <v>1781</v>
      </c>
      <c r="G82" t="s">
        <v>1961</v>
      </c>
      <c r="H82" t="s">
        <v>2209</v>
      </c>
      <c r="I82" t="s">
        <v>2374</v>
      </c>
      <c r="J82" t="s">
        <v>2375</v>
      </c>
      <c r="K82" t="s">
        <v>2374</v>
      </c>
    </row>
    <row r="83" spans="1:11" x14ac:dyDescent="0.3">
      <c r="A83" t="s">
        <v>769</v>
      </c>
      <c r="B83" t="s">
        <v>1119</v>
      </c>
      <c r="C83" t="s">
        <v>193</v>
      </c>
      <c r="D83" t="s">
        <v>1383</v>
      </c>
      <c r="E83" t="s">
        <v>1467</v>
      </c>
      <c r="F83" t="s">
        <v>548</v>
      </c>
      <c r="G83" t="s">
        <v>1962</v>
      </c>
      <c r="H83" t="s">
        <v>2210</v>
      </c>
      <c r="I83" t="s">
        <v>2375</v>
      </c>
      <c r="J83" t="s">
        <v>2375</v>
      </c>
      <c r="K83" t="s">
        <v>2374</v>
      </c>
    </row>
    <row r="84" spans="1:11" x14ac:dyDescent="0.3">
      <c r="A84" t="s">
        <v>770</v>
      </c>
      <c r="B84" t="s">
        <v>1120</v>
      </c>
      <c r="C84" t="s">
        <v>215</v>
      </c>
      <c r="D84" t="s">
        <v>1384</v>
      </c>
      <c r="E84" t="s">
        <v>1468</v>
      </c>
      <c r="F84" t="s">
        <v>535</v>
      </c>
      <c r="G84" t="s">
        <v>1963</v>
      </c>
      <c r="H84" t="s">
        <v>2211</v>
      </c>
      <c r="I84" t="s">
        <v>2375</v>
      </c>
      <c r="J84" t="s">
        <v>2375</v>
      </c>
      <c r="K84" t="s">
        <v>2375</v>
      </c>
    </row>
    <row r="85" spans="1:11" x14ac:dyDescent="0.3">
      <c r="A85" t="s">
        <v>771</v>
      </c>
      <c r="B85" t="s">
        <v>1121</v>
      </c>
      <c r="C85" t="s">
        <v>194</v>
      </c>
      <c r="D85" t="s">
        <v>1383</v>
      </c>
      <c r="E85" t="s">
        <v>1469</v>
      </c>
      <c r="F85" t="s">
        <v>1782</v>
      </c>
      <c r="G85" t="s">
        <v>568</v>
      </c>
      <c r="H85" t="s">
        <v>412</v>
      </c>
      <c r="I85" t="s">
        <v>2375</v>
      </c>
      <c r="J85" t="s">
        <v>2374</v>
      </c>
      <c r="K85" t="s">
        <v>2374</v>
      </c>
    </row>
    <row r="86" spans="1:11" x14ac:dyDescent="0.3">
      <c r="A86" t="s">
        <v>772</v>
      </c>
      <c r="B86" t="s">
        <v>1122</v>
      </c>
      <c r="C86" t="s">
        <v>208</v>
      </c>
      <c r="D86" t="s">
        <v>1383</v>
      </c>
      <c r="E86" t="s">
        <v>1470</v>
      </c>
      <c r="F86" t="s">
        <v>1783</v>
      </c>
      <c r="G86" t="s">
        <v>340</v>
      </c>
      <c r="H86" t="s">
        <v>2212</v>
      </c>
      <c r="I86" t="s">
        <v>2375</v>
      </c>
      <c r="J86" t="s">
        <v>2374</v>
      </c>
      <c r="K86" t="s">
        <v>2374</v>
      </c>
    </row>
    <row r="87" spans="1:11" x14ac:dyDescent="0.3">
      <c r="A87" t="s">
        <v>773</v>
      </c>
      <c r="B87" t="s">
        <v>1123</v>
      </c>
      <c r="C87" t="s">
        <v>190</v>
      </c>
      <c r="D87" t="s">
        <v>1385</v>
      </c>
      <c r="E87" t="s">
        <v>1471</v>
      </c>
      <c r="F87" t="s">
        <v>1740</v>
      </c>
      <c r="G87" t="s">
        <v>1964</v>
      </c>
      <c r="H87" t="s">
        <v>2213</v>
      </c>
      <c r="I87" t="s">
        <v>2375</v>
      </c>
      <c r="J87" t="s">
        <v>2375</v>
      </c>
      <c r="K87" t="s">
        <v>2374</v>
      </c>
    </row>
    <row r="88" spans="1:11" x14ac:dyDescent="0.3">
      <c r="A88" t="s">
        <v>774</v>
      </c>
      <c r="B88" t="s">
        <v>1124</v>
      </c>
      <c r="C88" t="s">
        <v>192</v>
      </c>
      <c r="D88" t="s">
        <v>1385</v>
      </c>
      <c r="E88" t="s">
        <v>1472</v>
      </c>
      <c r="F88" t="s">
        <v>1740</v>
      </c>
      <c r="G88" t="s">
        <v>1965</v>
      </c>
      <c r="H88" t="s">
        <v>2214</v>
      </c>
      <c r="I88" t="s">
        <v>2374</v>
      </c>
      <c r="J88" t="s">
        <v>2374</v>
      </c>
      <c r="K88" t="s">
        <v>2375</v>
      </c>
    </row>
    <row r="89" spans="1:11" x14ac:dyDescent="0.3">
      <c r="A89" t="s">
        <v>775</v>
      </c>
      <c r="B89" t="s">
        <v>1125</v>
      </c>
      <c r="C89" t="s">
        <v>246</v>
      </c>
      <c r="D89" t="s">
        <v>1383</v>
      </c>
      <c r="E89" t="s">
        <v>1473</v>
      </c>
      <c r="F89" t="s">
        <v>1784</v>
      </c>
      <c r="G89" t="s">
        <v>332</v>
      </c>
      <c r="H89" t="s">
        <v>2215</v>
      </c>
      <c r="I89" t="s">
        <v>2374</v>
      </c>
      <c r="J89" t="s">
        <v>2375</v>
      </c>
      <c r="K89" t="s">
        <v>2374</v>
      </c>
    </row>
    <row r="90" spans="1:11" x14ac:dyDescent="0.3">
      <c r="A90" t="s">
        <v>776</v>
      </c>
      <c r="B90" t="s">
        <v>1126</v>
      </c>
      <c r="C90" t="s">
        <v>243</v>
      </c>
      <c r="D90" t="s">
        <v>1385</v>
      </c>
      <c r="E90" t="s">
        <v>1474</v>
      </c>
      <c r="F90" t="s">
        <v>1740</v>
      </c>
      <c r="G90" t="s">
        <v>1966</v>
      </c>
      <c r="H90" t="s">
        <v>2115</v>
      </c>
      <c r="I90" t="s">
        <v>2374</v>
      </c>
      <c r="J90" t="s">
        <v>2375</v>
      </c>
      <c r="K90" t="s">
        <v>2374</v>
      </c>
    </row>
    <row r="91" spans="1:11" x14ac:dyDescent="0.3">
      <c r="A91" t="s">
        <v>777</v>
      </c>
      <c r="B91" t="s">
        <v>1127</v>
      </c>
      <c r="C91" t="s">
        <v>223</v>
      </c>
      <c r="D91" t="s">
        <v>1385</v>
      </c>
      <c r="E91" t="s">
        <v>1475</v>
      </c>
      <c r="F91" t="s">
        <v>1740</v>
      </c>
      <c r="G91" t="s">
        <v>1967</v>
      </c>
      <c r="H91" t="s">
        <v>2086</v>
      </c>
      <c r="I91" t="s">
        <v>2375</v>
      </c>
      <c r="J91" t="s">
        <v>2374</v>
      </c>
      <c r="K91" t="s">
        <v>2374</v>
      </c>
    </row>
    <row r="92" spans="1:11" x14ac:dyDescent="0.3">
      <c r="A92" t="s">
        <v>778</v>
      </c>
      <c r="B92" t="s">
        <v>1128</v>
      </c>
      <c r="C92" t="s">
        <v>235</v>
      </c>
      <c r="D92" t="s">
        <v>1385</v>
      </c>
      <c r="E92" t="s">
        <v>1476</v>
      </c>
      <c r="F92" t="s">
        <v>1740</v>
      </c>
      <c r="G92" t="s">
        <v>1968</v>
      </c>
      <c r="H92" t="s">
        <v>279</v>
      </c>
      <c r="I92" t="s">
        <v>2375</v>
      </c>
      <c r="J92" t="s">
        <v>2374</v>
      </c>
      <c r="K92" t="s">
        <v>2374</v>
      </c>
    </row>
    <row r="93" spans="1:11" x14ac:dyDescent="0.3">
      <c r="A93" t="s">
        <v>779</v>
      </c>
      <c r="B93" t="s">
        <v>1129</v>
      </c>
      <c r="C93" t="s">
        <v>240</v>
      </c>
      <c r="D93" t="s">
        <v>1383</v>
      </c>
      <c r="E93" t="s">
        <v>1477</v>
      </c>
      <c r="F93" t="s">
        <v>556</v>
      </c>
      <c r="G93" t="s">
        <v>1969</v>
      </c>
      <c r="H93" t="s">
        <v>2216</v>
      </c>
      <c r="I93" t="s">
        <v>2375</v>
      </c>
      <c r="J93" t="s">
        <v>2374</v>
      </c>
      <c r="K93" t="s">
        <v>2375</v>
      </c>
    </row>
    <row r="94" spans="1:11" x14ac:dyDescent="0.3">
      <c r="A94" t="s">
        <v>780</v>
      </c>
      <c r="B94" t="s">
        <v>1130</v>
      </c>
      <c r="C94" t="s">
        <v>217</v>
      </c>
      <c r="D94" t="s">
        <v>1385</v>
      </c>
      <c r="E94" t="s">
        <v>1478</v>
      </c>
      <c r="F94" t="s">
        <v>1740</v>
      </c>
      <c r="G94" t="s">
        <v>1970</v>
      </c>
      <c r="H94" t="s">
        <v>2217</v>
      </c>
      <c r="I94" t="s">
        <v>2374</v>
      </c>
      <c r="J94" t="s">
        <v>2374</v>
      </c>
      <c r="K94" t="s">
        <v>2375</v>
      </c>
    </row>
    <row r="95" spans="1:11" x14ac:dyDescent="0.3">
      <c r="A95" t="s">
        <v>781</v>
      </c>
      <c r="B95" t="s">
        <v>1131</v>
      </c>
      <c r="C95" t="s">
        <v>218</v>
      </c>
      <c r="D95" t="s">
        <v>1385</v>
      </c>
      <c r="E95" t="s">
        <v>1479</v>
      </c>
      <c r="F95" t="s">
        <v>1740</v>
      </c>
      <c r="G95" t="s">
        <v>311</v>
      </c>
      <c r="H95" t="s">
        <v>463</v>
      </c>
      <c r="I95" t="s">
        <v>2374</v>
      </c>
      <c r="J95" t="s">
        <v>2374</v>
      </c>
      <c r="K95" t="s">
        <v>2375</v>
      </c>
    </row>
    <row r="96" spans="1:11" x14ac:dyDescent="0.3">
      <c r="A96" t="s">
        <v>782</v>
      </c>
      <c r="B96" t="s">
        <v>1132</v>
      </c>
      <c r="C96" t="s">
        <v>222</v>
      </c>
      <c r="D96" t="s">
        <v>1384</v>
      </c>
      <c r="E96" t="s">
        <v>1480</v>
      </c>
      <c r="F96" t="s">
        <v>1785</v>
      </c>
      <c r="G96" t="s">
        <v>1971</v>
      </c>
      <c r="H96" t="s">
        <v>2218</v>
      </c>
      <c r="I96" t="s">
        <v>2374</v>
      </c>
      <c r="J96" t="s">
        <v>2374</v>
      </c>
      <c r="K96" t="s">
        <v>2375</v>
      </c>
    </row>
    <row r="97" spans="1:11" x14ac:dyDescent="0.3">
      <c r="A97" t="s">
        <v>783</v>
      </c>
      <c r="B97" t="s">
        <v>1133</v>
      </c>
      <c r="C97" t="s">
        <v>242</v>
      </c>
      <c r="D97" t="s">
        <v>1383</v>
      </c>
      <c r="E97" t="s">
        <v>1481</v>
      </c>
      <c r="F97" t="s">
        <v>1786</v>
      </c>
      <c r="G97" t="s">
        <v>1972</v>
      </c>
      <c r="H97" t="s">
        <v>678</v>
      </c>
      <c r="I97" t="s">
        <v>2374</v>
      </c>
      <c r="J97" t="s">
        <v>2374</v>
      </c>
      <c r="K97" t="s">
        <v>2374</v>
      </c>
    </row>
    <row r="98" spans="1:11" x14ac:dyDescent="0.3">
      <c r="A98" t="s">
        <v>784</v>
      </c>
      <c r="B98" t="s">
        <v>1134</v>
      </c>
      <c r="C98" t="s">
        <v>222</v>
      </c>
      <c r="D98" t="s">
        <v>1383</v>
      </c>
      <c r="E98" t="s">
        <v>1482</v>
      </c>
      <c r="F98" t="s">
        <v>1787</v>
      </c>
      <c r="G98" t="s">
        <v>1973</v>
      </c>
      <c r="H98" t="s">
        <v>2219</v>
      </c>
      <c r="I98" t="s">
        <v>2374</v>
      </c>
      <c r="J98" t="s">
        <v>2374</v>
      </c>
      <c r="K98" t="s">
        <v>2374</v>
      </c>
    </row>
    <row r="99" spans="1:11" x14ac:dyDescent="0.3">
      <c r="A99" t="s">
        <v>785</v>
      </c>
      <c r="B99" t="s">
        <v>1135</v>
      </c>
      <c r="C99" t="s">
        <v>194</v>
      </c>
      <c r="D99" t="s">
        <v>1384</v>
      </c>
      <c r="E99" t="s">
        <v>1483</v>
      </c>
      <c r="F99" t="s">
        <v>1788</v>
      </c>
      <c r="G99" t="s">
        <v>1974</v>
      </c>
      <c r="H99" t="s">
        <v>2158</v>
      </c>
      <c r="I99" t="s">
        <v>2374</v>
      </c>
      <c r="J99" t="s">
        <v>2374</v>
      </c>
      <c r="K99" t="s">
        <v>2374</v>
      </c>
    </row>
    <row r="100" spans="1:11" x14ac:dyDescent="0.3">
      <c r="A100" t="s">
        <v>786</v>
      </c>
      <c r="B100" t="s">
        <v>1136</v>
      </c>
      <c r="C100" t="s">
        <v>234</v>
      </c>
      <c r="D100" t="s">
        <v>1384</v>
      </c>
      <c r="E100" t="s">
        <v>1484</v>
      </c>
      <c r="F100" t="s">
        <v>1789</v>
      </c>
      <c r="G100" t="s">
        <v>1975</v>
      </c>
      <c r="H100" t="s">
        <v>674</v>
      </c>
      <c r="I100" t="s">
        <v>2374</v>
      </c>
      <c r="J100" t="s">
        <v>2374</v>
      </c>
      <c r="K100" t="s">
        <v>2374</v>
      </c>
    </row>
    <row r="101" spans="1:11" x14ac:dyDescent="0.3">
      <c r="A101" t="s">
        <v>787</v>
      </c>
      <c r="B101" t="s">
        <v>1137</v>
      </c>
      <c r="C101" t="s">
        <v>222</v>
      </c>
      <c r="D101" t="s">
        <v>1383</v>
      </c>
      <c r="E101" t="s">
        <v>1485</v>
      </c>
      <c r="F101" t="s">
        <v>1790</v>
      </c>
      <c r="G101" t="s">
        <v>1976</v>
      </c>
      <c r="H101" t="s">
        <v>2220</v>
      </c>
      <c r="I101" t="s">
        <v>2374</v>
      </c>
      <c r="J101" t="s">
        <v>2374</v>
      </c>
      <c r="K101" t="s">
        <v>2374</v>
      </c>
    </row>
    <row r="102" spans="1:11" x14ac:dyDescent="0.3">
      <c r="A102" t="s">
        <v>788</v>
      </c>
      <c r="B102" t="s">
        <v>1138</v>
      </c>
      <c r="C102" t="s">
        <v>247</v>
      </c>
      <c r="D102" t="s">
        <v>1384</v>
      </c>
      <c r="E102" t="s">
        <v>1486</v>
      </c>
      <c r="F102" t="s">
        <v>1791</v>
      </c>
      <c r="G102" t="s">
        <v>1977</v>
      </c>
      <c r="H102" t="s">
        <v>2221</v>
      </c>
      <c r="I102" t="s">
        <v>2374</v>
      </c>
      <c r="J102" t="s">
        <v>2374</v>
      </c>
      <c r="K102" t="s">
        <v>2374</v>
      </c>
    </row>
    <row r="103" spans="1:11" x14ac:dyDescent="0.3">
      <c r="A103" t="s">
        <v>789</v>
      </c>
      <c r="B103" t="s">
        <v>1139</v>
      </c>
      <c r="C103" t="s">
        <v>199</v>
      </c>
      <c r="D103" t="s">
        <v>1384</v>
      </c>
      <c r="E103" t="s">
        <v>1487</v>
      </c>
      <c r="F103" t="s">
        <v>1792</v>
      </c>
      <c r="G103" t="s">
        <v>1978</v>
      </c>
      <c r="H103" t="s">
        <v>1936</v>
      </c>
      <c r="I103" t="s">
        <v>2374</v>
      </c>
      <c r="J103" t="s">
        <v>2374</v>
      </c>
      <c r="K103" t="s">
        <v>2375</v>
      </c>
    </row>
    <row r="104" spans="1:11" x14ac:dyDescent="0.3">
      <c r="A104" t="s">
        <v>790</v>
      </c>
      <c r="B104" t="s">
        <v>1140</v>
      </c>
      <c r="C104" t="s">
        <v>221</v>
      </c>
      <c r="D104" t="s">
        <v>1385</v>
      </c>
      <c r="E104" t="s">
        <v>1488</v>
      </c>
      <c r="F104" t="s">
        <v>1740</v>
      </c>
      <c r="G104" t="s">
        <v>1979</v>
      </c>
      <c r="H104" t="s">
        <v>2222</v>
      </c>
      <c r="I104" t="s">
        <v>2374</v>
      </c>
      <c r="J104" t="s">
        <v>2374</v>
      </c>
      <c r="K104" t="s">
        <v>2374</v>
      </c>
    </row>
    <row r="105" spans="1:11" x14ac:dyDescent="0.3">
      <c r="A105" t="s">
        <v>791</v>
      </c>
      <c r="B105" t="s">
        <v>1141</v>
      </c>
      <c r="C105" t="s">
        <v>231</v>
      </c>
      <c r="D105" t="s">
        <v>1383</v>
      </c>
      <c r="E105" t="s">
        <v>1489</v>
      </c>
      <c r="F105" t="s">
        <v>1793</v>
      </c>
      <c r="G105" t="s">
        <v>613</v>
      </c>
      <c r="H105" t="s">
        <v>2223</v>
      </c>
      <c r="I105" t="s">
        <v>2374</v>
      </c>
      <c r="J105" t="s">
        <v>2374</v>
      </c>
      <c r="K105" t="s">
        <v>2374</v>
      </c>
    </row>
    <row r="106" spans="1:11" x14ac:dyDescent="0.3">
      <c r="A106" t="s">
        <v>792</v>
      </c>
      <c r="B106" t="s">
        <v>1142</v>
      </c>
      <c r="C106" t="s">
        <v>203</v>
      </c>
      <c r="D106" t="s">
        <v>1384</v>
      </c>
      <c r="E106" t="s">
        <v>1490</v>
      </c>
      <c r="F106" t="s">
        <v>1794</v>
      </c>
      <c r="G106" t="s">
        <v>546</v>
      </c>
      <c r="H106" t="s">
        <v>2224</v>
      </c>
      <c r="I106" t="s">
        <v>2374</v>
      </c>
      <c r="J106" t="s">
        <v>2374</v>
      </c>
      <c r="K106" t="s">
        <v>2375</v>
      </c>
    </row>
    <row r="107" spans="1:11" x14ac:dyDescent="0.3">
      <c r="A107" t="s">
        <v>793</v>
      </c>
      <c r="B107" t="s">
        <v>1143</v>
      </c>
      <c r="C107" t="s">
        <v>207</v>
      </c>
      <c r="D107" t="s">
        <v>1384</v>
      </c>
      <c r="E107" t="s">
        <v>1491</v>
      </c>
      <c r="F107" t="s">
        <v>614</v>
      </c>
      <c r="G107" t="s">
        <v>1980</v>
      </c>
      <c r="H107" t="s">
        <v>2225</v>
      </c>
      <c r="I107" t="s">
        <v>2374</v>
      </c>
      <c r="J107" t="s">
        <v>2374</v>
      </c>
      <c r="K107" t="s">
        <v>2374</v>
      </c>
    </row>
    <row r="108" spans="1:11" x14ac:dyDescent="0.3">
      <c r="A108" t="s">
        <v>794</v>
      </c>
      <c r="B108" t="s">
        <v>1144</v>
      </c>
      <c r="C108" t="s">
        <v>199</v>
      </c>
      <c r="D108" t="s">
        <v>1383</v>
      </c>
      <c r="E108" t="s">
        <v>1492</v>
      </c>
      <c r="F108" t="s">
        <v>1795</v>
      </c>
      <c r="G108" t="s">
        <v>1981</v>
      </c>
      <c r="H108" t="s">
        <v>2226</v>
      </c>
      <c r="I108" t="s">
        <v>2374</v>
      </c>
      <c r="J108" t="s">
        <v>2374</v>
      </c>
      <c r="K108" t="s">
        <v>2374</v>
      </c>
    </row>
    <row r="109" spans="1:11" x14ac:dyDescent="0.3">
      <c r="A109" t="s">
        <v>795</v>
      </c>
      <c r="B109" t="s">
        <v>1145</v>
      </c>
      <c r="C109" t="s">
        <v>218</v>
      </c>
      <c r="D109" t="s">
        <v>1385</v>
      </c>
      <c r="E109" t="s">
        <v>1493</v>
      </c>
      <c r="F109" t="s">
        <v>1740</v>
      </c>
      <c r="G109" t="s">
        <v>356</v>
      </c>
      <c r="H109" t="s">
        <v>2227</v>
      </c>
      <c r="I109" t="s">
        <v>2374</v>
      </c>
      <c r="J109" t="s">
        <v>2374</v>
      </c>
      <c r="K109" t="s">
        <v>2375</v>
      </c>
    </row>
    <row r="110" spans="1:11" x14ac:dyDescent="0.3">
      <c r="A110" t="s">
        <v>796</v>
      </c>
      <c r="B110" t="s">
        <v>1146</v>
      </c>
      <c r="C110" t="s">
        <v>249</v>
      </c>
      <c r="D110" t="s">
        <v>1383</v>
      </c>
      <c r="E110" t="s">
        <v>1494</v>
      </c>
      <c r="F110" t="s">
        <v>1796</v>
      </c>
      <c r="G110" t="s">
        <v>1982</v>
      </c>
      <c r="H110" t="s">
        <v>2228</v>
      </c>
      <c r="I110" t="s">
        <v>2374</v>
      </c>
      <c r="J110" t="s">
        <v>2374</v>
      </c>
      <c r="K110" t="s">
        <v>2374</v>
      </c>
    </row>
    <row r="111" spans="1:11" x14ac:dyDescent="0.3">
      <c r="A111" t="s">
        <v>797</v>
      </c>
      <c r="B111" t="s">
        <v>1147</v>
      </c>
      <c r="C111" t="s">
        <v>246</v>
      </c>
      <c r="D111" t="s">
        <v>1384</v>
      </c>
      <c r="E111" t="s">
        <v>1495</v>
      </c>
      <c r="F111" t="s">
        <v>1797</v>
      </c>
      <c r="G111" t="s">
        <v>1983</v>
      </c>
      <c r="H111" t="s">
        <v>2229</v>
      </c>
      <c r="I111" t="s">
        <v>2374</v>
      </c>
      <c r="J111" t="s">
        <v>2374</v>
      </c>
      <c r="K111" t="s">
        <v>2374</v>
      </c>
    </row>
    <row r="112" spans="1:11" x14ac:dyDescent="0.3">
      <c r="A112" t="s">
        <v>798</v>
      </c>
      <c r="B112" t="s">
        <v>1148</v>
      </c>
      <c r="C112" t="s">
        <v>201</v>
      </c>
      <c r="D112" t="s">
        <v>1383</v>
      </c>
      <c r="E112" t="s">
        <v>1496</v>
      </c>
      <c r="F112" t="s">
        <v>329</v>
      </c>
      <c r="G112" t="s">
        <v>1984</v>
      </c>
      <c r="H112" t="s">
        <v>2230</v>
      </c>
      <c r="I112" t="s">
        <v>2374</v>
      </c>
      <c r="J112" t="s">
        <v>2374</v>
      </c>
      <c r="K112" t="s">
        <v>2374</v>
      </c>
    </row>
    <row r="113" spans="1:11" x14ac:dyDescent="0.3">
      <c r="A113" t="s">
        <v>799</v>
      </c>
      <c r="B113" t="s">
        <v>1149</v>
      </c>
      <c r="C113" t="s">
        <v>213</v>
      </c>
      <c r="D113" t="s">
        <v>1384</v>
      </c>
      <c r="E113" t="s">
        <v>1497</v>
      </c>
      <c r="F113" t="s">
        <v>1798</v>
      </c>
      <c r="G113" t="s">
        <v>1985</v>
      </c>
      <c r="H113" t="s">
        <v>303</v>
      </c>
      <c r="I113" t="s">
        <v>2374</v>
      </c>
      <c r="J113" t="s">
        <v>2375</v>
      </c>
      <c r="K113" t="s">
        <v>2375</v>
      </c>
    </row>
    <row r="114" spans="1:11" x14ac:dyDescent="0.3">
      <c r="A114" t="s">
        <v>800</v>
      </c>
      <c r="B114" t="s">
        <v>1150</v>
      </c>
      <c r="C114" t="s">
        <v>248</v>
      </c>
      <c r="D114" t="s">
        <v>1385</v>
      </c>
      <c r="E114" t="s">
        <v>1498</v>
      </c>
      <c r="F114" t="s">
        <v>1740</v>
      </c>
      <c r="G114" t="s">
        <v>1986</v>
      </c>
      <c r="H114" t="s">
        <v>2231</v>
      </c>
      <c r="I114" t="s">
        <v>2374</v>
      </c>
      <c r="J114" t="s">
        <v>2374</v>
      </c>
      <c r="K114" t="s">
        <v>2374</v>
      </c>
    </row>
    <row r="115" spans="1:11" x14ac:dyDescent="0.3">
      <c r="A115" t="s">
        <v>801</v>
      </c>
      <c r="B115" t="s">
        <v>1151</v>
      </c>
      <c r="C115" t="s">
        <v>239</v>
      </c>
      <c r="D115" t="s">
        <v>1385</v>
      </c>
      <c r="E115" t="s">
        <v>1499</v>
      </c>
      <c r="F115" t="s">
        <v>1740</v>
      </c>
      <c r="G115" t="s">
        <v>1987</v>
      </c>
      <c r="H115" t="s">
        <v>2232</v>
      </c>
      <c r="I115" t="s">
        <v>2374</v>
      </c>
      <c r="J115" t="s">
        <v>2375</v>
      </c>
      <c r="K115" t="s">
        <v>2374</v>
      </c>
    </row>
    <row r="116" spans="1:11" x14ac:dyDescent="0.3">
      <c r="A116" t="s">
        <v>802</v>
      </c>
      <c r="B116" t="s">
        <v>1152</v>
      </c>
      <c r="C116" t="s">
        <v>247</v>
      </c>
      <c r="D116" t="s">
        <v>1385</v>
      </c>
      <c r="E116" t="s">
        <v>1500</v>
      </c>
      <c r="F116" t="s">
        <v>1740</v>
      </c>
      <c r="G116" t="s">
        <v>1988</v>
      </c>
      <c r="H116" t="s">
        <v>2233</v>
      </c>
      <c r="I116" t="s">
        <v>2374</v>
      </c>
      <c r="J116" t="s">
        <v>2375</v>
      </c>
      <c r="K116" t="s">
        <v>2375</v>
      </c>
    </row>
    <row r="117" spans="1:11" x14ac:dyDescent="0.3">
      <c r="A117" t="s">
        <v>803</v>
      </c>
      <c r="B117" t="s">
        <v>1153</v>
      </c>
      <c r="C117" t="s">
        <v>233</v>
      </c>
      <c r="D117" t="s">
        <v>1385</v>
      </c>
      <c r="E117" t="s">
        <v>1501</v>
      </c>
      <c r="F117" t="s">
        <v>1740</v>
      </c>
      <c r="G117" t="s">
        <v>1989</v>
      </c>
      <c r="H117" t="s">
        <v>386</v>
      </c>
      <c r="I117" t="s">
        <v>2374</v>
      </c>
      <c r="J117" t="s">
        <v>2374</v>
      </c>
      <c r="K117" t="s">
        <v>2375</v>
      </c>
    </row>
    <row r="118" spans="1:11" x14ac:dyDescent="0.3">
      <c r="A118" t="s">
        <v>804</v>
      </c>
      <c r="B118" t="s">
        <v>1154</v>
      </c>
      <c r="C118" t="s">
        <v>228</v>
      </c>
      <c r="D118" t="s">
        <v>1385</v>
      </c>
      <c r="E118" t="s">
        <v>1502</v>
      </c>
      <c r="F118" t="s">
        <v>1740</v>
      </c>
      <c r="G118" t="s">
        <v>1750</v>
      </c>
      <c r="H118" t="s">
        <v>2234</v>
      </c>
      <c r="I118" t="s">
        <v>2374</v>
      </c>
      <c r="J118" t="s">
        <v>2375</v>
      </c>
      <c r="K118" t="s">
        <v>2375</v>
      </c>
    </row>
    <row r="119" spans="1:11" x14ac:dyDescent="0.3">
      <c r="A119" t="s">
        <v>805</v>
      </c>
      <c r="B119" t="s">
        <v>187</v>
      </c>
      <c r="C119" t="s">
        <v>192</v>
      </c>
      <c r="D119" t="s">
        <v>1383</v>
      </c>
      <c r="E119" t="s">
        <v>1503</v>
      </c>
      <c r="F119" t="s">
        <v>1799</v>
      </c>
      <c r="G119" t="s">
        <v>1990</v>
      </c>
      <c r="H119" t="s">
        <v>630</v>
      </c>
      <c r="I119" t="s">
        <v>2374</v>
      </c>
      <c r="J119" t="s">
        <v>2374</v>
      </c>
      <c r="K119" t="s">
        <v>2374</v>
      </c>
    </row>
    <row r="120" spans="1:11" x14ac:dyDescent="0.3">
      <c r="A120" t="s">
        <v>806</v>
      </c>
      <c r="B120" t="s">
        <v>1155</v>
      </c>
      <c r="C120" t="s">
        <v>235</v>
      </c>
      <c r="D120" t="s">
        <v>1384</v>
      </c>
      <c r="E120" t="s">
        <v>1504</v>
      </c>
      <c r="F120" t="s">
        <v>484</v>
      </c>
      <c r="G120" t="s">
        <v>1991</v>
      </c>
      <c r="H120" t="s">
        <v>544</v>
      </c>
      <c r="I120" t="s">
        <v>2374</v>
      </c>
      <c r="J120" t="s">
        <v>2374</v>
      </c>
      <c r="K120" t="s">
        <v>2374</v>
      </c>
    </row>
    <row r="121" spans="1:11" x14ac:dyDescent="0.3">
      <c r="A121" t="s">
        <v>807</v>
      </c>
      <c r="B121" t="s">
        <v>1156</v>
      </c>
      <c r="C121" t="s">
        <v>238</v>
      </c>
      <c r="D121" t="s">
        <v>1385</v>
      </c>
      <c r="E121" t="s">
        <v>1505</v>
      </c>
      <c r="F121" t="s">
        <v>1740</v>
      </c>
      <c r="G121" t="s">
        <v>1992</v>
      </c>
      <c r="H121" t="s">
        <v>610</v>
      </c>
      <c r="I121" t="s">
        <v>2374</v>
      </c>
      <c r="J121" t="s">
        <v>2374</v>
      </c>
      <c r="K121" t="s">
        <v>2375</v>
      </c>
    </row>
    <row r="122" spans="1:11" x14ac:dyDescent="0.3">
      <c r="A122" t="s">
        <v>808</v>
      </c>
      <c r="B122" t="s">
        <v>1157</v>
      </c>
      <c r="C122" t="s">
        <v>227</v>
      </c>
      <c r="D122" t="s">
        <v>1383</v>
      </c>
      <c r="E122" t="s">
        <v>1506</v>
      </c>
      <c r="F122" t="s">
        <v>1800</v>
      </c>
      <c r="G122" t="s">
        <v>1993</v>
      </c>
      <c r="H122" t="s">
        <v>2066</v>
      </c>
      <c r="I122" t="s">
        <v>2374</v>
      </c>
      <c r="J122" t="s">
        <v>2374</v>
      </c>
      <c r="K122" t="s">
        <v>2374</v>
      </c>
    </row>
    <row r="123" spans="1:11" x14ac:dyDescent="0.3">
      <c r="A123" t="s">
        <v>809</v>
      </c>
      <c r="B123" t="s">
        <v>1158</v>
      </c>
      <c r="C123" t="s">
        <v>241</v>
      </c>
      <c r="D123" t="s">
        <v>1385</v>
      </c>
      <c r="E123" t="s">
        <v>1507</v>
      </c>
      <c r="F123" t="s">
        <v>1740</v>
      </c>
      <c r="G123" t="s">
        <v>1994</v>
      </c>
      <c r="H123" t="s">
        <v>2235</v>
      </c>
      <c r="I123" t="s">
        <v>2374</v>
      </c>
      <c r="J123" t="s">
        <v>2375</v>
      </c>
      <c r="K123" t="s">
        <v>2375</v>
      </c>
    </row>
    <row r="124" spans="1:11" x14ac:dyDescent="0.3">
      <c r="A124" t="s">
        <v>810</v>
      </c>
      <c r="B124" t="s">
        <v>1159</v>
      </c>
      <c r="C124" t="s">
        <v>247</v>
      </c>
      <c r="D124" t="s">
        <v>1385</v>
      </c>
      <c r="E124" t="s">
        <v>1508</v>
      </c>
      <c r="F124" t="s">
        <v>1740</v>
      </c>
      <c r="G124" t="s">
        <v>500</v>
      </c>
      <c r="H124" t="s">
        <v>2236</v>
      </c>
      <c r="I124" t="s">
        <v>2374</v>
      </c>
      <c r="J124" t="s">
        <v>2374</v>
      </c>
      <c r="K124" t="s">
        <v>2375</v>
      </c>
    </row>
    <row r="125" spans="1:11" x14ac:dyDescent="0.3">
      <c r="A125" t="s">
        <v>811</v>
      </c>
      <c r="B125" t="s">
        <v>1160</v>
      </c>
      <c r="C125" t="s">
        <v>235</v>
      </c>
      <c r="D125" t="s">
        <v>1385</v>
      </c>
      <c r="E125" t="s">
        <v>1509</v>
      </c>
      <c r="F125" t="s">
        <v>1740</v>
      </c>
      <c r="G125" t="s">
        <v>302</v>
      </c>
      <c r="H125" t="s">
        <v>2237</v>
      </c>
      <c r="I125" t="s">
        <v>2374</v>
      </c>
      <c r="J125" t="s">
        <v>2374</v>
      </c>
      <c r="K125" t="s">
        <v>2375</v>
      </c>
    </row>
    <row r="126" spans="1:11" x14ac:dyDescent="0.3">
      <c r="A126" t="s">
        <v>812</v>
      </c>
      <c r="B126" t="s">
        <v>1161</v>
      </c>
      <c r="C126" t="s">
        <v>242</v>
      </c>
      <c r="D126" t="s">
        <v>1385</v>
      </c>
      <c r="E126" t="s">
        <v>1510</v>
      </c>
      <c r="F126" t="s">
        <v>1740</v>
      </c>
      <c r="G126" t="s">
        <v>1929</v>
      </c>
      <c r="H126" t="s">
        <v>1893</v>
      </c>
      <c r="I126" t="s">
        <v>2374</v>
      </c>
      <c r="J126" t="s">
        <v>2375</v>
      </c>
      <c r="K126" t="s">
        <v>2375</v>
      </c>
    </row>
    <row r="127" spans="1:11" x14ac:dyDescent="0.3">
      <c r="A127" t="s">
        <v>813</v>
      </c>
      <c r="B127" t="s">
        <v>1162</v>
      </c>
      <c r="C127" t="s">
        <v>196</v>
      </c>
      <c r="D127" t="s">
        <v>1384</v>
      </c>
      <c r="E127" t="s">
        <v>1511</v>
      </c>
      <c r="F127" t="s">
        <v>1801</v>
      </c>
      <c r="G127" t="s">
        <v>1995</v>
      </c>
      <c r="H127" t="s">
        <v>2238</v>
      </c>
      <c r="I127" t="s">
        <v>2375</v>
      </c>
      <c r="J127" t="s">
        <v>2374</v>
      </c>
      <c r="K127" t="s">
        <v>2374</v>
      </c>
    </row>
    <row r="128" spans="1:11" x14ac:dyDescent="0.3">
      <c r="A128" t="s">
        <v>814</v>
      </c>
      <c r="B128" t="s">
        <v>1163</v>
      </c>
      <c r="C128" t="s">
        <v>244</v>
      </c>
      <c r="D128" t="s">
        <v>1384</v>
      </c>
      <c r="E128" t="s">
        <v>1512</v>
      </c>
      <c r="F128" t="s">
        <v>1802</v>
      </c>
      <c r="G128" t="s">
        <v>1996</v>
      </c>
      <c r="H128" t="s">
        <v>2239</v>
      </c>
      <c r="I128" t="s">
        <v>2374</v>
      </c>
      <c r="J128" t="s">
        <v>2375</v>
      </c>
      <c r="K128" t="s">
        <v>2374</v>
      </c>
    </row>
    <row r="129" spans="1:11" x14ac:dyDescent="0.3">
      <c r="A129" t="s">
        <v>815</v>
      </c>
      <c r="B129" t="s">
        <v>1164</v>
      </c>
      <c r="C129" t="s">
        <v>191</v>
      </c>
      <c r="D129" t="s">
        <v>1384</v>
      </c>
      <c r="E129" t="s">
        <v>1513</v>
      </c>
      <c r="F129" t="s">
        <v>1803</v>
      </c>
      <c r="G129" t="s">
        <v>1997</v>
      </c>
      <c r="H129" t="s">
        <v>2240</v>
      </c>
      <c r="I129" t="s">
        <v>2375</v>
      </c>
      <c r="J129" t="s">
        <v>2374</v>
      </c>
      <c r="K129" t="s">
        <v>2374</v>
      </c>
    </row>
    <row r="130" spans="1:11" x14ac:dyDescent="0.3">
      <c r="A130" t="s">
        <v>816</v>
      </c>
      <c r="B130" t="s">
        <v>1165</v>
      </c>
      <c r="C130" t="s">
        <v>242</v>
      </c>
      <c r="D130" t="s">
        <v>1384</v>
      </c>
      <c r="E130" t="s">
        <v>1514</v>
      </c>
      <c r="F130" t="s">
        <v>1804</v>
      </c>
      <c r="G130" t="s">
        <v>432</v>
      </c>
      <c r="H130" t="s">
        <v>2241</v>
      </c>
      <c r="I130" t="s">
        <v>2375</v>
      </c>
      <c r="J130" t="s">
        <v>2375</v>
      </c>
      <c r="K130" t="s">
        <v>2375</v>
      </c>
    </row>
    <row r="131" spans="1:11" x14ac:dyDescent="0.3">
      <c r="A131" t="s">
        <v>817</v>
      </c>
      <c r="B131" t="s">
        <v>1166</v>
      </c>
      <c r="C131" t="s">
        <v>227</v>
      </c>
      <c r="D131" t="s">
        <v>1385</v>
      </c>
      <c r="E131" t="s">
        <v>1515</v>
      </c>
      <c r="F131" t="s">
        <v>1740</v>
      </c>
      <c r="G131" t="s">
        <v>1998</v>
      </c>
      <c r="H131" t="s">
        <v>2242</v>
      </c>
      <c r="I131" t="s">
        <v>2374</v>
      </c>
      <c r="J131" t="s">
        <v>2375</v>
      </c>
      <c r="K131" t="s">
        <v>2375</v>
      </c>
    </row>
    <row r="132" spans="1:11" x14ac:dyDescent="0.3">
      <c r="A132" t="s">
        <v>818</v>
      </c>
      <c r="B132" t="s">
        <v>1167</v>
      </c>
      <c r="C132" t="s">
        <v>204</v>
      </c>
      <c r="D132" t="s">
        <v>1383</v>
      </c>
      <c r="E132" t="s">
        <v>1516</v>
      </c>
      <c r="F132" t="s">
        <v>390</v>
      </c>
      <c r="G132" t="s">
        <v>1999</v>
      </c>
      <c r="H132" t="s">
        <v>2243</v>
      </c>
      <c r="I132" t="s">
        <v>2375</v>
      </c>
      <c r="J132" t="s">
        <v>2375</v>
      </c>
      <c r="K132" t="s">
        <v>2374</v>
      </c>
    </row>
    <row r="133" spans="1:11" x14ac:dyDescent="0.3">
      <c r="A133" t="s">
        <v>819</v>
      </c>
      <c r="B133" t="s">
        <v>1168</v>
      </c>
      <c r="C133" t="s">
        <v>229</v>
      </c>
      <c r="D133" t="s">
        <v>1385</v>
      </c>
      <c r="E133" t="s">
        <v>1517</v>
      </c>
      <c r="F133" t="s">
        <v>1740</v>
      </c>
      <c r="G133" t="s">
        <v>2000</v>
      </c>
      <c r="H133" t="s">
        <v>2235</v>
      </c>
      <c r="I133" t="s">
        <v>2374</v>
      </c>
      <c r="J133" t="s">
        <v>2375</v>
      </c>
      <c r="K133" t="s">
        <v>2375</v>
      </c>
    </row>
    <row r="134" spans="1:11" x14ac:dyDescent="0.3">
      <c r="A134" t="s">
        <v>820</v>
      </c>
      <c r="B134" t="s">
        <v>1169</v>
      </c>
      <c r="C134" t="s">
        <v>238</v>
      </c>
      <c r="D134" t="s">
        <v>1385</v>
      </c>
      <c r="E134" t="s">
        <v>1518</v>
      </c>
      <c r="F134" t="s">
        <v>1740</v>
      </c>
      <c r="G134" t="s">
        <v>2001</v>
      </c>
      <c r="H134" t="s">
        <v>2244</v>
      </c>
      <c r="I134" t="s">
        <v>2375</v>
      </c>
      <c r="J134" t="s">
        <v>2375</v>
      </c>
      <c r="K134" t="s">
        <v>2374</v>
      </c>
    </row>
    <row r="135" spans="1:11" x14ac:dyDescent="0.3">
      <c r="A135" t="s">
        <v>821</v>
      </c>
      <c r="B135" t="s">
        <v>1170</v>
      </c>
      <c r="C135" t="s">
        <v>211</v>
      </c>
      <c r="D135" t="s">
        <v>1383</v>
      </c>
      <c r="E135" t="s">
        <v>1519</v>
      </c>
      <c r="F135" t="s">
        <v>1805</v>
      </c>
      <c r="G135" t="s">
        <v>582</v>
      </c>
      <c r="H135" t="s">
        <v>2190</v>
      </c>
      <c r="I135" t="s">
        <v>2375</v>
      </c>
      <c r="J135" t="s">
        <v>2374</v>
      </c>
      <c r="K135" t="s">
        <v>2375</v>
      </c>
    </row>
    <row r="136" spans="1:11" x14ac:dyDescent="0.3">
      <c r="A136" t="s">
        <v>822</v>
      </c>
      <c r="B136" t="s">
        <v>1171</v>
      </c>
      <c r="C136" t="s">
        <v>210</v>
      </c>
      <c r="D136" t="s">
        <v>1385</v>
      </c>
      <c r="E136" t="s">
        <v>1520</v>
      </c>
      <c r="F136" t="s">
        <v>1740</v>
      </c>
      <c r="G136" t="s">
        <v>2002</v>
      </c>
      <c r="H136" t="s">
        <v>2245</v>
      </c>
      <c r="I136" t="s">
        <v>2375</v>
      </c>
      <c r="J136" t="s">
        <v>2374</v>
      </c>
      <c r="K136" t="s">
        <v>2374</v>
      </c>
    </row>
    <row r="137" spans="1:11" x14ac:dyDescent="0.3">
      <c r="A137" t="s">
        <v>823</v>
      </c>
      <c r="B137" t="s">
        <v>1172</v>
      </c>
      <c r="C137" t="s">
        <v>232</v>
      </c>
      <c r="D137" t="s">
        <v>1384</v>
      </c>
      <c r="E137" t="s">
        <v>1521</v>
      </c>
      <c r="F137" t="s">
        <v>1806</v>
      </c>
      <c r="G137" t="s">
        <v>368</v>
      </c>
      <c r="H137" t="s">
        <v>1914</v>
      </c>
      <c r="I137" t="s">
        <v>2374</v>
      </c>
      <c r="J137" t="s">
        <v>2374</v>
      </c>
      <c r="K137" t="s">
        <v>2375</v>
      </c>
    </row>
    <row r="138" spans="1:11" x14ac:dyDescent="0.3">
      <c r="A138" t="s">
        <v>824</v>
      </c>
      <c r="B138" t="s">
        <v>1173</v>
      </c>
      <c r="C138" t="s">
        <v>234</v>
      </c>
      <c r="D138" t="s">
        <v>1383</v>
      </c>
      <c r="E138" t="s">
        <v>1522</v>
      </c>
      <c r="F138" t="s">
        <v>1807</v>
      </c>
      <c r="G138" t="s">
        <v>2003</v>
      </c>
      <c r="H138" t="s">
        <v>1930</v>
      </c>
      <c r="I138" t="s">
        <v>2375</v>
      </c>
      <c r="J138" t="s">
        <v>2374</v>
      </c>
      <c r="K138" t="s">
        <v>2374</v>
      </c>
    </row>
    <row r="139" spans="1:11" x14ac:dyDescent="0.3">
      <c r="A139" t="s">
        <v>825</v>
      </c>
      <c r="B139" t="s">
        <v>1174</v>
      </c>
      <c r="C139" t="s">
        <v>196</v>
      </c>
      <c r="D139" t="s">
        <v>1383</v>
      </c>
      <c r="E139" t="s">
        <v>1523</v>
      </c>
      <c r="F139" t="s">
        <v>1808</v>
      </c>
      <c r="G139" t="s">
        <v>2004</v>
      </c>
      <c r="H139" t="s">
        <v>2246</v>
      </c>
      <c r="I139" t="s">
        <v>2375</v>
      </c>
      <c r="J139" t="s">
        <v>2375</v>
      </c>
      <c r="K139" t="s">
        <v>2375</v>
      </c>
    </row>
    <row r="140" spans="1:11" x14ac:dyDescent="0.3">
      <c r="A140" t="s">
        <v>826</v>
      </c>
      <c r="B140" t="s">
        <v>1175</v>
      </c>
      <c r="C140" t="s">
        <v>243</v>
      </c>
      <c r="D140" t="s">
        <v>1383</v>
      </c>
      <c r="E140" t="s">
        <v>1524</v>
      </c>
      <c r="F140" t="s">
        <v>306</v>
      </c>
      <c r="G140" t="s">
        <v>1842</v>
      </c>
      <c r="H140" t="s">
        <v>2201</v>
      </c>
      <c r="I140" t="s">
        <v>2375</v>
      </c>
      <c r="J140" t="s">
        <v>2374</v>
      </c>
      <c r="K140" t="s">
        <v>2375</v>
      </c>
    </row>
    <row r="141" spans="1:11" x14ac:dyDescent="0.3">
      <c r="A141" t="s">
        <v>827</v>
      </c>
      <c r="B141" t="s">
        <v>1176</v>
      </c>
      <c r="C141" t="s">
        <v>237</v>
      </c>
      <c r="D141" t="s">
        <v>1383</v>
      </c>
      <c r="E141" t="s">
        <v>1525</v>
      </c>
      <c r="F141" t="s">
        <v>657</v>
      </c>
      <c r="G141" t="s">
        <v>2005</v>
      </c>
      <c r="H141" t="s">
        <v>1821</v>
      </c>
      <c r="I141" t="s">
        <v>2374</v>
      </c>
      <c r="J141" t="s">
        <v>2374</v>
      </c>
      <c r="K141" t="s">
        <v>2374</v>
      </c>
    </row>
    <row r="142" spans="1:11" x14ac:dyDescent="0.3">
      <c r="A142" t="s">
        <v>828</v>
      </c>
      <c r="B142" t="s">
        <v>1177</v>
      </c>
      <c r="C142" t="s">
        <v>246</v>
      </c>
      <c r="D142" t="s">
        <v>1385</v>
      </c>
      <c r="E142" t="s">
        <v>1526</v>
      </c>
      <c r="F142" t="s">
        <v>1740</v>
      </c>
      <c r="G142" t="s">
        <v>2006</v>
      </c>
      <c r="H142" t="s">
        <v>2247</v>
      </c>
      <c r="I142" t="s">
        <v>2375</v>
      </c>
      <c r="J142" t="s">
        <v>2374</v>
      </c>
      <c r="K142" t="s">
        <v>2375</v>
      </c>
    </row>
    <row r="143" spans="1:11" x14ac:dyDescent="0.3">
      <c r="A143" t="s">
        <v>829</v>
      </c>
      <c r="B143" t="s">
        <v>1178</v>
      </c>
      <c r="C143" t="s">
        <v>235</v>
      </c>
      <c r="D143" t="s">
        <v>1384</v>
      </c>
      <c r="E143" t="s">
        <v>1527</v>
      </c>
      <c r="F143" t="s">
        <v>1809</v>
      </c>
      <c r="G143" t="s">
        <v>295</v>
      </c>
      <c r="H143" t="s">
        <v>2248</v>
      </c>
      <c r="I143" t="s">
        <v>2375</v>
      </c>
      <c r="J143" t="s">
        <v>2374</v>
      </c>
      <c r="K143" t="s">
        <v>2374</v>
      </c>
    </row>
    <row r="144" spans="1:11" x14ac:dyDescent="0.3">
      <c r="A144" t="s">
        <v>830</v>
      </c>
      <c r="B144" t="s">
        <v>1179</v>
      </c>
      <c r="C144" t="s">
        <v>220</v>
      </c>
      <c r="D144" t="s">
        <v>1385</v>
      </c>
      <c r="E144" t="s">
        <v>1528</v>
      </c>
      <c r="F144" t="s">
        <v>1740</v>
      </c>
      <c r="G144" t="s">
        <v>2007</v>
      </c>
      <c r="H144" t="s">
        <v>2249</v>
      </c>
      <c r="I144" t="s">
        <v>2375</v>
      </c>
      <c r="J144" t="s">
        <v>2375</v>
      </c>
      <c r="K144" t="s">
        <v>2374</v>
      </c>
    </row>
    <row r="145" spans="1:11" x14ac:dyDescent="0.3">
      <c r="A145" t="s">
        <v>831</v>
      </c>
      <c r="B145" t="s">
        <v>1180</v>
      </c>
      <c r="C145" t="s">
        <v>190</v>
      </c>
      <c r="D145" t="s">
        <v>1385</v>
      </c>
      <c r="E145" t="s">
        <v>1529</v>
      </c>
      <c r="F145" t="s">
        <v>1740</v>
      </c>
      <c r="G145" t="s">
        <v>2008</v>
      </c>
      <c r="H145" t="s">
        <v>2250</v>
      </c>
      <c r="I145" t="s">
        <v>2375</v>
      </c>
      <c r="J145" t="s">
        <v>2374</v>
      </c>
      <c r="K145" t="s">
        <v>2375</v>
      </c>
    </row>
    <row r="146" spans="1:11" x14ac:dyDescent="0.3">
      <c r="A146" t="s">
        <v>832</v>
      </c>
      <c r="B146" t="s">
        <v>1181</v>
      </c>
      <c r="C146" t="s">
        <v>231</v>
      </c>
      <c r="D146" t="s">
        <v>1384</v>
      </c>
      <c r="E146" t="s">
        <v>1530</v>
      </c>
      <c r="F146" t="s">
        <v>1810</v>
      </c>
      <c r="G146" t="s">
        <v>2009</v>
      </c>
      <c r="H146" t="s">
        <v>334</v>
      </c>
      <c r="I146" t="s">
        <v>2375</v>
      </c>
      <c r="J146" t="s">
        <v>2375</v>
      </c>
      <c r="K146" t="s">
        <v>2375</v>
      </c>
    </row>
    <row r="147" spans="1:11" x14ac:dyDescent="0.3">
      <c r="A147" t="s">
        <v>833</v>
      </c>
      <c r="B147" t="s">
        <v>1182</v>
      </c>
      <c r="C147" t="s">
        <v>244</v>
      </c>
      <c r="D147" t="s">
        <v>1385</v>
      </c>
      <c r="E147" t="s">
        <v>1531</v>
      </c>
      <c r="F147" t="s">
        <v>1740</v>
      </c>
      <c r="G147" t="s">
        <v>2010</v>
      </c>
      <c r="H147" t="s">
        <v>2231</v>
      </c>
      <c r="I147" t="s">
        <v>2375</v>
      </c>
      <c r="J147" t="s">
        <v>2374</v>
      </c>
      <c r="K147" t="s">
        <v>2375</v>
      </c>
    </row>
    <row r="148" spans="1:11" x14ac:dyDescent="0.3">
      <c r="A148" t="s">
        <v>834</v>
      </c>
      <c r="B148" t="s">
        <v>1183</v>
      </c>
      <c r="C148" t="s">
        <v>206</v>
      </c>
      <c r="D148" t="s">
        <v>1385</v>
      </c>
      <c r="E148" t="s">
        <v>1532</v>
      </c>
      <c r="F148" t="s">
        <v>1740</v>
      </c>
      <c r="G148" t="s">
        <v>2011</v>
      </c>
      <c r="H148" t="s">
        <v>2251</v>
      </c>
      <c r="I148" t="s">
        <v>2375</v>
      </c>
      <c r="J148" t="s">
        <v>2374</v>
      </c>
      <c r="K148" t="s">
        <v>2375</v>
      </c>
    </row>
    <row r="149" spans="1:11" x14ac:dyDescent="0.3">
      <c r="A149" t="s">
        <v>835</v>
      </c>
      <c r="B149" t="s">
        <v>1184</v>
      </c>
      <c r="C149" t="s">
        <v>194</v>
      </c>
      <c r="D149" t="s">
        <v>1385</v>
      </c>
      <c r="E149" t="s">
        <v>1533</v>
      </c>
      <c r="F149" t="s">
        <v>1740</v>
      </c>
      <c r="G149" t="s">
        <v>2012</v>
      </c>
      <c r="H149" t="s">
        <v>2252</v>
      </c>
      <c r="I149" t="s">
        <v>2374</v>
      </c>
      <c r="J149" t="s">
        <v>2374</v>
      </c>
      <c r="K149" t="s">
        <v>2375</v>
      </c>
    </row>
    <row r="150" spans="1:11" x14ac:dyDescent="0.3">
      <c r="A150" t="s">
        <v>836</v>
      </c>
      <c r="B150" t="s">
        <v>1185</v>
      </c>
      <c r="C150" t="s">
        <v>218</v>
      </c>
      <c r="D150" t="s">
        <v>1385</v>
      </c>
      <c r="E150" t="s">
        <v>1534</v>
      </c>
      <c r="F150" t="s">
        <v>1740</v>
      </c>
      <c r="G150" t="s">
        <v>2013</v>
      </c>
      <c r="H150" t="s">
        <v>2253</v>
      </c>
      <c r="I150" t="s">
        <v>2375</v>
      </c>
      <c r="J150" t="s">
        <v>2374</v>
      </c>
      <c r="K150" t="s">
        <v>2375</v>
      </c>
    </row>
    <row r="151" spans="1:11" x14ac:dyDescent="0.3">
      <c r="A151" t="s">
        <v>837</v>
      </c>
      <c r="B151" t="s">
        <v>1186</v>
      </c>
      <c r="C151" t="s">
        <v>234</v>
      </c>
      <c r="D151" t="s">
        <v>1383</v>
      </c>
      <c r="E151" t="s">
        <v>1535</v>
      </c>
      <c r="F151" t="s">
        <v>1811</v>
      </c>
      <c r="G151" t="s">
        <v>513</v>
      </c>
      <c r="H151" t="s">
        <v>2254</v>
      </c>
      <c r="I151" t="s">
        <v>2375</v>
      </c>
      <c r="J151" t="s">
        <v>2374</v>
      </c>
      <c r="K151" t="s">
        <v>2375</v>
      </c>
    </row>
    <row r="152" spans="1:11" x14ac:dyDescent="0.3">
      <c r="A152" t="s">
        <v>838</v>
      </c>
      <c r="B152" t="s">
        <v>1187</v>
      </c>
      <c r="C152" t="s">
        <v>208</v>
      </c>
      <c r="D152" t="s">
        <v>1385</v>
      </c>
      <c r="E152" t="s">
        <v>1536</v>
      </c>
      <c r="F152" t="s">
        <v>1740</v>
      </c>
      <c r="G152" t="s">
        <v>2014</v>
      </c>
      <c r="H152" t="s">
        <v>2255</v>
      </c>
      <c r="I152" t="s">
        <v>2374</v>
      </c>
      <c r="J152" t="s">
        <v>2374</v>
      </c>
      <c r="K152" t="s">
        <v>2375</v>
      </c>
    </row>
    <row r="153" spans="1:11" x14ac:dyDescent="0.3">
      <c r="A153" t="s">
        <v>839</v>
      </c>
      <c r="B153" t="s">
        <v>1188</v>
      </c>
      <c r="C153" t="s">
        <v>228</v>
      </c>
      <c r="D153" t="s">
        <v>1383</v>
      </c>
      <c r="E153" t="s">
        <v>1537</v>
      </c>
      <c r="F153" t="s">
        <v>1812</v>
      </c>
      <c r="G153" t="s">
        <v>585</v>
      </c>
      <c r="H153" t="s">
        <v>427</v>
      </c>
      <c r="I153" t="s">
        <v>2374</v>
      </c>
      <c r="J153" t="s">
        <v>2374</v>
      </c>
      <c r="K153" t="s">
        <v>2374</v>
      </c>
    </row>
    <row r="154" spans="1:11" x14ac:dyDescent="0.3">
      <c r="A154" t="s">
        <v>840</v>
      </c>
      <c r="B154" t="s">
        <v>1189</v>
      </c>
      <c r="C154" t="s">
        <v>231</v>
      </c>
      <c r="D154" t="s">
        <v>1384</v>
      </c>
      <c r="E154" t="s">
        <v>1538</v>
      </c>
      <c r="F154" t="s">
        <v>1813</v>
      </c>
      <c r="G154" t="s">
        <v>2015</v>
      </c>
      <c r="H154" t="s">
        <v>1913</v>
      </c>
      <c r="I154" t="s">
        <v>2374</v>
      </c>
      <c r="J154" t="s">
        <v>2374</v>
      </c>
      <c r="K154" t="s">
        <v>2374</v>
      </c>
    </row>
    <row r="155" spans="1:11" x14ac:dyDescent="0.3">
      <c r="A155" t="s">
        <v>841</v>
      </c>
      <c r="B155" t="s">
        <v>1190</v>
      </c>
      <c r="C155" t="s">
        <v>230</v>
      </c>
      <c r="D155" t="s">
        <v>1385</v>
      </c>
      <c r="E155" t="s">
        <v>1539</v>
      </c>
      <c r="F155" t="s">
        <v>1740</v>
      </c>
      <c r="G155" t="s">
        <v>2016</v>
      </c>
      <c r="H155" t="s">
        <v>459</v>
      </c>
      <c r="I155" t="s">
        <v>2374</v>
      </c>
      <c r="J155" t="s">
        <v>2374</v>
      </c>
      <c r="K155" t="s">
        <v>2374</v>
      </c>
    </row>
    <row r="156" spans="1:11" x14ac:dyDescent="0.3">
      <c r="A156" t="s">
        <v>842</v>
      </c>
      <c r="B156" t="s">
        <v>1191</v>
      </c>
      <c r="C156" t="s">
        <v>239</v>
      </c>
      <c r="D156" t="s">
        <v>1385</v>
      </c>
      <c r="E156" t="s">
        <v>1540</v>
      </c>
      <c r="F156" t="s">
        <v>1740</v>
      </c>
      <c r="G156" t="s">
        <v>2017</v>
      </c>
      <c r="H156" t="s">
        <v>2256</v>
      </c>
      <c r="I156" t="s">
        <v>2375</v>
      </c>
      <c r="J156" t="s">
        <v>2374</v>
      </c>
      <c r="K156" t="s">
        <v>2374</v>
      </c>
    </row>
    <row r="157" spans="1:11" x14ac:dyDescent="0.3">
      <c r="A157" t="s">
        <v>843</v>
      </c>
      <c r="B157" t="s">
        <v>1192</v>
      </c>
      <c r="C157" t="s">
        <v>239</v>
      </c>
      <c r="D157" t="s">
        <v>1383</v>
      </c>
      <c r="E157" t="s">
        <v>1541</v>
      </c>
      <c r="F157" t="s">
        <v>350</v>
      </c>
      <c r="G157" t="s">
        <v>2018</v>
      </c>
      <c r="H157" t="s">
        <v>2257</v>
      </c>
      <c r="I157" t="s">
        <v>2375</v>
      </c>
      <c r="J157" t="s">
        <v>2374</v>
      </c>
      <c r="K157" t="s">
        <v>2374</v>
      </c>
    </row>
    <row r="158" spans="1:11" x14ac:dyDescent="0.3">
      <c r="A158" t="s">
        <v>844</v>
      </c>
      <c r="B158" t="s">
        <v>1193</v>
      </c>
      <c r="C158" t="s">
        <v>197</v>
      </c>
      <c r="D158" t="s">
        <v>1385</v>
      </c>
      <c r="E158" t="s">
        <v>1542</v>
      </c>
      <c r="F158" t="s">
        <v>1740</v>
      </c>
      <c r="G158" t="s">
        <v>2019</v>
      </c>
      <c r="H158" t="s">
        <v>1977</v>
      </c>
      <c r="I158" t="s">
        <v>2374</v>
      </c>
      <c r="J158" t="s">
        <v>2374</v>
      </c>
      <c r="K158" t="s">
        <v>2374</v>
      </c>
    </row>
    <row r="159" spans="1:11" x14ac:dyDescent="0.3">
      <c r="A159" t="s">
        <v>845</v>
      </c>
      <c r="B159" t="s">
        <v>1194</v>
      </c>
      <c r="C159" t="s">
        <v>229</v>
      </c>
      <c r="D159" t="s">
        <v>1383</v>
      </c>
      <c r="E159" t="s">
        <v>1543</v>
      </c>
      <c r="F159" t="s">
        <v>1814</v>
      </c>
      <c r="G159" t="s">
        <v>2020</v>
      </c>
      <c r="H159" t="s">
        <v>2258</v>
      </c>
      <c r="I159" t="s">
        <v>2375</v>
      </c>
      <c r="J159" t="s">
        <v>2374</v>
      </c>
      <c r="K159" t="s">
        <v>2374</v>
      </c>
    </row>
    <row r="160" spans="1:11" x14ac:dyDescent="0.3">
      <c r="A160" t="s">
        <v>846</v>
      </c>
      <c r="B160" t="s">
        <v>1195</v>
      </c>
      <c r="C160" t="s">
        <v>248</v>
      </c>
      <c r="D160" t="s">
        <v>1385</v>
      </c>
      <c r="E160" t="s">
        <v>1544</v>
      </c>
      <c r="F160" t="s">
        <v>1740</v>
      </c>
      <c r="G160" t="s">
        <v>2021</v>
      </c>
      <c r="H160" t="s">
        <v>2259</v>
      </c>
      <c r="I160" t="s">
        <v>2374</v>
      </c>
      <c r="J160" t="s">
        <v>2374</v>
      </c>
      <c r="K160" t="s">
        <v>2374</v>
      </c>
    </row>
    <row r="161" spans="1:11" x14ac:dyDescent="0.3">
      <c r="A161" t="s">
        <v>847</v>
      </c>
      <c r="B161" t="s">
        <v>1196</v>
      </c>
      <c r="C161" t="s">
        <v>213</v>
      </c>
      <c r="D161" t="s">
        <v>1384</v>
      </c>
      <c r="E161" t="s">
        <v>1545</v>
      </c>
      <c r="F161" t="s">
        <v>1815</v>
      </c>
      <c r="G161" t="s">
        <v>2022</v>
      </c>
      <c r="H161" t="s">
        <v>387</v>
      </c>
      <c r="I161" t="s">
        <v>2375</v>
      </c>
      <c r="J161" t="s">
        <v>2374</v>
      </c>
      <c r="K161" t="s">
        <v>2374</v>
      </c>
    </row>
    <row r="162" spans="1:11" x14ac:dyDescent="0.3">
      <c r="A162" t="s">
        <v>848</v>
      </c>
      <c r="B162" t="s">
        <v>1197</v>
      </c>
      <c r="C162" t="s">
        <v>228</v>
      </c>
      <c r="D162" t="s">
        <v>1385</v>
      </c>
      <c r="E162" t="s">
        <v>1546</v>
      </c>
      <c r="F162" t="s">
        <v>1740</v>
      </c>
      <c r="G162" t="s">
        <v>2023</v>
      </c>
      <c r="H162" t="s">
        <v>435</v>
      </c>
      <c r="I162" t="s">
        <v>2375</v>
      </c>
      <c r="J162" t="s">
        <v>2374</v>
      </c>
      <c r="K162" t="s">
        <v>2374</v>
      </c>
    </row>
    <row r="163" spans="1:11" x14ac:dyDescent="0.3">
      <c r="A163" t="s">
        <v>849</v>
      </c>
      <c r="B163" t="s">
        <v>1198</v>
      </c>
      <c r="C163" t="s">
        <v>233</v>
      </c>
      <c r="D163" t="s">
        <v>1385</v>
      </c>
      <c r="E163" t="s">
        <v>1547</v>
      </c>
      <c r="F163" t="s">
        <v>1740</v>
      </c>
      <c r="G163" t="s">
        <v>1809</v>
      </c>
      <c r="H163" t="s">
        <v>2260</v>
      </c>
      <c r="I163" t="s">
        <v>2375</v>
      </c>
      <c r="J163" t="s">
        <v>2374</v>
      </c>
      <c r="K163" t="s">
        <v>2374</v>
      </c>
    </row>
    <row r="164" spans="1:11" x14ac:dyDescent="0.3">
      <c r="A164" t="s">
        <v>850</v>
      </c>
      <c r="B164" t="s">
        <v>1199</v>
      </c>
      <c r="C164" t="s">
        <v>226</v>
      </c>
      <c r="D164" t="s">
        <v>1384</v>
      </c>
      <c r="E164" t="s">
        <v>1548</v>
      </c>
      <c r="F164" t="s">
        <v>547</v>
      </c>
      <c r="G164" t="s">
        <v>2024</v>
      </c>
      <c r="H164" t="s">
        <v>2261</v>
      </c>
      <c r="I164" t="s">
        <v>2374</v>
      </c>
      <c r="J164" t="s">
        <v>2374</v>
      </c>
      <c r="K164" t="s">
        <v>2374</v>
      </c>
    </row>
    <row r="165" spans="1:11" x14ac:dyDescent="0.3">
      <c r="A165" t="s">
        <v>851</v>
      </c>
      <c r="B165" t="s">
        <v>1200</v>
      </c>
      <c r="C165" t="s">
        <v>209</v>
      </c>
      <c r="D165" t="s">
        <v>1384</v>
      </c>
      <c r="E165" t="s">
        <v>1549</v>
      </c>
      <c r="F165" t="s">
        <v>1816</v>
      </c>
      <c r="G165" t="s">
        <v>2025</v>
      </c>
      <c r="H165" t="s">
        <v>2262</v>
      </c>
      <c r="I165" t="s">
        <v>2375</v>
      </c>
      <c r="J165" t="s">
        <v>2374</v>
      </c>
      <c r="K165" t="s">
        <v>2374</v>
      </c>
    </row>
    <row r="166" spans="1:11" x14ac:dyDescent="0.3">
      <c r="A166" t="s">
        <v>852</v>
      </c>
      <c r="B166" t="s">
        <v>1201</v>
      </c>
      <c r="C166" t="s">
        <v>228</v>
      </c>
      <c r="D166" t="s">
        <v>1383</v>
      </c>
      <c r="E166" t="s">
        <v>1550</v>
      </c>
      <c r="F166" t="s">
        <v>1817</v>
      </c>
      <c r="G166" t="s">
        <v>2026</v>
      </c>
      <c r="H166" t="s">
        <v>2263</v>
      </c>
      <c r="I166" t="s">
        <v>2375</v>
      </c>
      <c r="J166" t="s">
        <v>2374</v>
      </c>
      <c r="K166" t="s">
        <v>2374</v>
      </c>
    </row>
    <row r="167" spans="1:11" x14ac:dyDescent="0.3">
      <c r="A167" t="s">
        <v>853</v>
      </c>
      <c r="B167" t="s">
        <v>1202</v>
      </c>
      <c r="C167" t="s">
        <v>214</v>
      </c>
      <c r="D167" t="s">
        <v>1384</v>
      </c>
      <c r="E167" t="s">
        <v>1551</v>
      </c>
      <c r="F167" t="s">
        <v>1818</v>
      </c>
      <c r="G167" t="s">
        <v>2027</v>
      </c>
      <c r="H167" t="s">
        <v>2264</v>
      </c>
      <c r="I167" t="s">
        <v>2375</v>
      </c>
      <c r="J167" t="s">
        <v>2374</v>
      </c>
      <c r="K167" t="s">
        <v>2374</v>
      </c>
    </row>
    <row r="168" spans="1:11" x14ac:dyDescent="0.3">
      <c r="A168" t="s">
        <v>854</v>
      </c>
      <c r="B168" t="s">
        <v>1203</v>
      </c>
      <c r="C168" t="s">
        <v>235</v>
      </c>
      <c r="D168" t="s">
        <v>1384</v>
      </c>
      <c r="E168" t="s">
        <v>1552</v>
      </c>
      <c r="F168" t="s">
        <v>438</v>
      </c>
      <c r="G168" t="s">
        <v>2028</v>
      </c>
      <c r="H168" t="s">
        <v>541</v>
      </c>
      <c r="I168" t="s">
        <v>2375</v>
      </c>
      <c r="J168" t="s">
        <v>2374</v>
      </c>
      <c r="K168" t="s">
        <v>2374</v>
      </c>
    </row>
    <row r="169" spans="1:11" x14ac:dyDescent="0.3">
      <c r="A169" t="s">
        <v>855</v>
      </c>
      <c r="B169" t="s">
        <v>1204</v>
      </c>
      <c r="C169" t="s">
        <v>198</v>
      </c>
      <c r="D169" t="s">
        <v>1385</v>
      </c>
      <c r="E169" t="s">
        <v>1553</v>
      </c>
      <c r="F169" t="s">
        <v>1740</v>
      </c>
      <c r="G169" t="s">
        <v>619</v>
      </c>
      <c r="H169" t="s">
        <v>501</v>
      </c>
      <c r="I169" t="s">
        <v>2374</v>
      </c>
      <c r="J169" t="s">
        <v>2374</v>
      </c>
      <c r="K169" t="s">
        <v>2374</v>
      </c>
    </row>
    <row r="170" spans="1:11" x14ac:dyDescent="0.3">
      <c r="A170" t="s">
        <v>856</v>
      </c>
      <c r="B170" t="s">
        <v>1205</v>
      </c>
      <c r="C170" t="s">
        <v>226</v>
      </c>
      <c r="D170" t="s">
        <v>1383</v>
      </c>
      <c r="E170" t="s">
        <v>1554</v>
      </c>
      <c r="F170" t="s">
        <v>1819</v>
      </c>
      <c r="G170" t="s">
        <v>2029</v>
      </c>
      <c r="H170" t="s">
        <v>2265</v>
      </c>
      <c r="I170" t="s">
        <v>2374</v>
      </c>
      <c r="J170" t="s">
        <v>2374</v>
      </c>
      <c r="K170" t="s">
        <v>2374</v>
      </c>
    </row>
    <row r="171" spans="1:11" x14ac:dyDescent="0.3">
      <c r="A171" t="s">
        <v>857</v>
      </c>
      <c r="B171" t="s">
        <v>1206</v>
      </c>
      <c r="C171" t="s">
        <v>218</v>
      </c>
      <c r="D171" t="s">
        <v>1384</v>
      </c>
      <c r="E171" t="s">
        <v>1555</v>
      </c>
      <c r="F171" t="s">
        <v>1820</v>
      </c>
      <c r="G171" t="s">
        <v>300</v>
      </c>
      <c r="H171" t="s">
        <v>2266</v>
      </c>
      <c r="I171" t="s">
        <v>2374</v>
      </c>
      <c r="J171" t="s">
        <v>2374</v>
      </c>
      <c r="K171" t="s">
        <v>2374</v>
      </c>
    </row>
    <row r="172" spans="1:11" x14ac:dyDescent="0.3">
      <c r="A172" t="s">
        <v>858</v>
      </c>
      <c r="B172" t="s">
        <v>1207</v>
      </c>
      <c r="C172" t="s">
        <v>215</v>
      </c>
      <c r="D172" t="s">
        <v>1383</v>
      </c>
      <c r="E172" t="s">
        <v>1556</v>
      </c>
      <c r="F172" t="s">
        <v>1821</v>
      </c>
      <c r="G172" t="s">
        <v>2030</v>
      </c>
      <c r="H172" t="s">
        <v>2267</v>
      </c>
      <c r="I172" t="s">
        <v>2375</v>
      </c>
      <c r="J172" t="s">
        <v>2374</v>
      </c>
      <c r="K172" t="s">
        <v>2374</v>
      </c>
    </row>
    <row r="173" spans="1:11" x14ac:dyDescent="0.3">
      <c r="A173" t="s">
        <v>859</v>
      </c>
      <c r="B173" t="s">
        <v>1208</v>
      </c>
      <c r="C173" t="s">
        <v>227</v>
      </c>
      <c r="D173" t="s">
        <v>1383</v>
      </c>
      <c r="E173" t="s">
        <v>1557</v>
      </c>
      <c r="F173" t="s">
        <v>1822</v>
      </c>
      <c r="G173" t="s">
        <v>2031</v>
      </c>
      <c r="H173" t="s">
        <v>2268</v>
      </c>
      <c r="I173" t="s">
        <v>2375</v>
      </c>
      <c r="J173" t="s">
        <v>2374</v>
      </c>
      <c r="K173" t="s">
        <v>2374</v>
      </c>
    </row>
    <row r="174" spans="1:11" x14ac:dyDescent="0.3">
      <c r="A174" t="s">
        <v>860</v>
      </c>
      <c r="B174" t="s">
        <v>1209</v>
      </c>
      <c r="C174" t="s">
        <v>239</v>
      </c>
      <c r="D174" t="s">
        <v>1384</v>
      </c>
      <c r="E174" t="s">
        <v>1558</v>
      </c>
      <c r="F174" t="s">
        <v>1823</v>
      </c>
      <c r="G174" t="s">
        <v>2032</v>
      </c>
      <c r="H174" t="s">
        <v>2018</v>
      </c>
      <c r="I174" t="s">
        <v>2374</v>
      </c>
      <c r="J174" t="s">
        <v>2374</v>
      </c>
      <c r="K174" t="s">
        <v>2374</v>
      </c>
    </row>
    <row r="175" spans="1:11" x14ac:dyDescent="0.3">
      <c r="A175" t="s">
        <v>861</v>
      </c>
      <c r="B175" t="s">
        <v>1210</v>
      </c>
      <c r="C175" t="s">
        <v>196</v>
      </c>
      <c r="D175" t="s">
        <v>1385</v>
      </c>
      <c r="E175" t="s">
        <v>1559</v>
      </c>
      <c r="F175" t="s">
        <v>1740</v>
      </c>
      <c r="G175" t="s">
        <v>2033</v>
      </c>
      <c r="H175" t="s">
        <v>2269</v>
      </c>
      <c r="I175" t="s">
        <v>2374</v>
      </c>
      <c r="J175" t="s">
        <v>2374</v>
      </c>
      <c r="K175" t="s">
        <v>2374</v>
      </c>
    </row>
    <row r="176" spans="1:11" x14ac:dyDescent="0.3">
      <c r="A176" t="s">
        <v>862</v>
      </c>
      <c r="B176" t="s">
        <v>1211</v>
      </c>
      <c r="C176" t="s">
        <v>215</v>
      </c>
      <c r="D176" t="s">
        <v>1384</v>
      </c>
      <c r="E176" t="s">
        <v>1560</v>
      </c>
      <c r="F176" t="s">
        <v>1824</v>
      </c>
      <c r="G176" t="s">
        <v>2034</v>
      </c>
      <c r="H176" t="s">
        <v>2270</v>
      </c>
      <c r="I176" t="s">
        <v>2375</v>
      </c>
      <c r="J176" t="s">
        <v>2374</v>
      </c>
      <c r="K176" t="s">
        <v>2374</v>
      </c>
    </row>
    <row r="177" spans="1:11" x14ac:dyDescent="0.3">
      <c r="A177" t="s">
        <v>863</v>
      </c>
      <c r="B177" t="s">
        <v>1212</v>
      </c>
      <c r="C177" t="s">
        <v>206</v>
      </c>
      <c r="D177" t="s">
        <v>1384</v>
      </c>
      <c r="E177" t="s">
        <v>1561</v>
      </c>
      <c r="F177" t="s">
        <v>1825</v>
      </c>
      <c r="G177" t="s">
        <v>2035</v>
      </c>
      <c r="H177" t="s">
        <v>2271</v>
      </c>
      <c r="I177" t="s">
        <v>2374</v>
      </c>
      <c r="J177" t="s">
        <v>2374</v>
      </c>
      <c r="K177" t="s">
        <v>2374</v>
      </c>
    </row>
    <row r="178" spans="1:11" x14ac:dyDescent="0.3">
      <c r="A178" t="s">
        <v>864</v>
      </c>
      <c r="B178" t="s">
        <v>1213</v>
      </c>
      <c r="C178" t="s">
        <v>240</v>
      </c>
      <c r="D178" t="s">
        <v>1384</v>
      </c>
      <c r="E178" t="s">
        <v>1562</v>
      </c>
      <c r="F178" t="s">
        <v>1826</v>
      </c>
      <c r="G178" t="s">
        <v>396</v>
      </c>
      <c r="H178" t="s">
        <v>306</v>
      </c>
      <c r="I178" t="s">
        <v>2375</v>
      </c>
      <c r="J178" t="s">
        <v>2374</v>
      </c>
      <c r="K178" t="s">
        <v>2374</v>
      </c>
    </row>
    <row r="179" spans="1:11" x14ac:dyDescent="0.3">
      <c r="A179" t="s">
        <v>865</v>
      </c>
      <c r="B179" t="s">
        <v>1214</v>
      </c>
      <c r="C179" t="s">
        <v>222</v>
      </c>
      <c r="D179" t="s">
        <v>1383</v>
      </c>
      <c r="E179" t="s">
        <v>1563</v>
      </c>
      <c r="F179" t="s">
        <v>267</v>
      </c>
      <c r="G179" t="s">
        <v>2036</v>
      </c>
      <c r="H179" t="s">
        <v>2050</v>
      </c>
      <c r="I179" t="s">
        <v>2375</v>
      </c>
      <c r="J179" t="s">
        <v>2374</v>
      </c>
      <c r="K179" t="s">
        <v>2374</v>
      </c>
    </row>
    <row r="180" spans="1:11" x14ac:dyDescent="0.3">
      <c r="A180" t="s">
        <v>866</v>
      </c>
      <c r="B180" t="s">
        <v>1215</v>
      </c>
      <c r="C180" t="s">
        <v>226</v>
      </c>
      <c r="D180" t="s">
        <v>1383</v>
      </c>
      <c r="E180" t="s">
        <v>1564</v>
      </c>
      <c r="F180" t="s">
        <v>1827</v>
      </c>
      <c r="G180" t="s">
        <v>404</v>
      </c>
      <c r="H180" t="s">
        <v>415</v>
      </c>
      <c r="I180" t="s">
        <v>2375</v>
      </c>
      <c r="J180" t="s">
        <v>2374</v>
      </c>
      <c r="K180" t="s">
        <v>2374</v>
      </c>
    </row>
    <row r="181" spans="1:11" x14ac:dyDescent="0.3">
      <c r="A181" t="s">
        <v>867</v>
      </c>
      <c r="B181" t="s">
        <v>1216</v>
      </c>
      <c r="C181" t="s">
        <v>230</v>
      </c>
      <c r="D181" t="s">
        <v>1383</v>
      </c>
      <c r="E181" t="s">
        <v>1565</v>
      </c>
      <c r="F181" t="s">
        <v>1828</v>
      </c>
      <c r="G181" t="s">
        <v>466</v>
      </c>
      <c r="H181" t="s">
        <v>609</v>
      </c>
      <c r="I181" t="s">
        <v>2374</v>
      </c>
      <c r="J181" t="s">
        <v>2374</v>
      </c>
      <c r="K181" t="s">
        <v>2374</v>
      </c>
    </row>
    <row r="182" spans="1:11" x14ac:dyDescent="0.3">
      <c r="A182" t="s">
        <v>868</v>
      </c>
      <c r="B182" t="s">
        <v>1217</v>
      </c>
      <c r="C182" t="s">
        <v>191</v>
      </c>
      <c r="D182" t="s">
        <v>1385</v>
      </c>
      <c r="E182" t="s">
        <v>1566</v>
      </c>
      <c r="F182" t="s">
        <v>1740</v>
      </c>
      <c r="G182" t="s">
        <v>305</v>
      </c>
      <c r="H182" t="s">
        <v>2272</v>
      </c>
      <c r="I182" t="s">
        <v>2374</v>
      </c>
      <c r="J182" t="s">
        <v>2374</v>
      </c>
      <c r="K182" t="s">
        <v>2374</v>
      </c>
    </row>
    <row r="183" spans="1:11" x14ac:dyDescent="0.3">
      <c r="A183" t="s">
        <v>869</v>
      </c>
      <c r="B183" t="s">
        <v>1218</v>
      </c>
      <c r="C183" t="s">
        <v>190</v>
      </c>
      <c r="D183" t="s">
        <v>1384</v>
      </c>
      <c r="E183" t="s">
        <v>1567</v>
      </c>
      <c r="F183" t="s">
        <v>1829</v>
      </c>
      <c r="G183" t="s">
        <v>2037</v>
      </c>
      <c r="H183" t="s">
        <v>1991</v>
      </c>
      <c r="I183" t="s">
        <v>2374</v>
      </c>
      <c r="J183" t="s">
        <v>2375</v>
      </c>
      <c r="K183" t="s">
        <v>2375</v>
      </c>
    </row>
    <row r="184" spans="1:11" x14ac:dyDescent="0.3">
      <c r="A184" t="s">
        <v>870</v>
      </c>
      <c r="B184" t="s">
        <v>186</v>
      </c>
      <c r="C184" t="s">
        <v>216</v>
      </c>
      <c r="D184" t="s">
        <v>1384</v>
      </c>
      <c r="E184" t="s">
        <v>1568</v>
      </c>
      <c r="F184" t="s">
        <v>523</v>
      </c>
      <c r="G184" t="s">
        <v>412</v>
      </c>
      <c r="H184" t="s">
        <v>2273</v>
      </c>
      <c r="I184" t="s">
        <v>2375</v>
      </c>
      <c r="J184" t="s">
        <v>2374</v>
      </c>
      <c r="K184" t="s">
        <v>2374</v>
      </c>
    </row>
    <row r="185" spans="1:11" x14ac:dyDescent="0.3">
      <c r="A185" t="s">
        <v>871</v>
      </c>
      <c r="B185" t="s">
        <v>1219</v>
      </c>
      <c r="C185" t="s">
        <v>230</v>
      </c>
      <c r="D185" t="s">
        <v>1385</v>
      </c>
      <c r="E185" t="s">
        <v>1569</v>
      </c>
      <c r="F185" t="s">
        <v>1740</v>
      </c>
      <c r="G185" t="s">
        <v>2038</v>
      </c>
      <c r="H185" t="s">
        <v>598</v>
      </c>
      <c r="I185" t="s">
        <v>2374</v>
      </c>
      <c r="J185" t="s">
        <v>2374</v>
      </c>
      <c r="K185" t="s">
        <v>2375</v>
      </c>
    </row>
    <row r="186" spans="1:11" x14ac:dyDescent="0.3">
      <c r="A186" t="s">
        <v>872</v>
      </c>
      <c r="B186" t="s">
        <v>1162</v>
      </c>
      <c r="C186" t="s">
        <v>203</v>
      </c>
      <c r="D186" t="s">
        <v>1384</v>
      </c>
      <c r="E186" t="s">
        <v>1570</v>
      </c>
      <c r="F186" t="s">
        <v>1830</v>
      </c>
      <c r="G186" t="s">
        <v>2039</v>
      </c>
      <c r="H186" t="s">
        <v>2274</v>
      </c>
      <c r="I186" t="s">
        <v>2374</v>
      </c>
      <c r="J186" t="s">
        <v>2375</v>
      </c>
      <c r="K186" t="s">
        <v>2375</v>
      </c>
    </row>
    <row r="187" spans="1:11" x14ac:dyDescent="0.3">
      <c r="A187" t="s">
        <v>873</v>
      </c>
      <c r="B187" t="s">
        <v>1220</v>
      </c>
      <c r="C187" t="s">
        <v>223</v>
      </c>
      <c r="D187" t="s">
        <v>1384</v>
      </c>
      <c r="E187" t="s">
        <v>1571</v>
      </c>
      <c r="F187" t="s">
        <v>479</v>
      </c>
      <c r="G187" t="s">
        <v>2040</v>
      </c>
      <c r="H187" t="s">
        <v>2275</v>
      </c>
      <c r="I187" t="s">
        <v>2375</v>
      </c>
      <c r="J187" t="s">
        <v>2374</v>
      </c>
      <c r="K187" t="s">
        <v>2374</v>
      </c>
    </row>
    <row r="188" spans="1:11" x14ac:dyDescent="0.3">
      <c r="A188" t="s">
        <v>874</v>
      </c>
      <c r="B188" t="s">
        <v>1221</v>
      </c>
      <c r="C188" t="s">
        <v>223</v>
      </c>
      <c r="D188" t="s">
        <v>1384</v>
      </c>
      <c r="E188" t="s">
        <v>1572</v>
      </c>
      <c r="F188" t="s">
        <v>1831</v>
      </c>
      <c r="G188" t="s">
        <v>1875</v>
      </c>
      <c r="H188" t="s">
        <v>641</v>
      </c>
      <c r="I188" t="s">
        <v>2375</v>
      </c>
      <c r="J188" t="s">
        <v>2375</v>
      </c>
      <c r="K188" t="s">
        <v>2374</v>
      </c>
    </row>
    <row r="189" spans="1:11" x14ac:dyDescent="0.3">
      <c r="A189" t="s">
        <v>875</v>
      </c>
      <c r="B189" t="s">
        <v>1222</v>
      </c>
      <c r="C189" t="s">
        <v>223</v>
      </c>
      <c r="D189" t="s">
        <v>1383</v>
      </c>
      <c r="E189" t="s">
        <v>1573</v>
      </c>
      <c r="F189" t="s">
        <v>1832</v>
      </c>
      <c r="G189" t="s">
        <v>301</v>
      </c>
      <c r="H189" t="s">
        <v>2276</v>
      </c>
      <c r="I189" t="s">
        <v>2375</v>
      </c>
      <c r="J189" t="s">
        <v>2375</v>
      </c>
      <c r="K189" t="s">
        <v>2374</v>
      </c>
    </row>
    <row r="190" spans="1:11" x14ac:dyDescent="0.3">
      <c r="A190" t="s">
        <v>876</v>
      </c>
      <c r="B190" t="s">
        <v>1223</v>
      </c>
      <c r="C190" t="s">
        <v>237</v>
      </c>
      <c r="D190" t="s">
        <v>1383</v>
      </c>
      <c r="E190" t="s">
        <v>1574</v>
      </c>
      <c r="F190" t="s">
        <v>673</v>
      </c>
      <c r="G190" t="s">
        <v>347</v>
      </c>
      <c r="H190" t="s">
        <v>2277</v>
      </c>
      <c r="I190" t="s">
        <v>2374</v>
      </c>
      <c r="J190" t="s">
        <v>2374</v>
      </c>
      <c r="K190" t="s">
        <v>2374</v>
      </c>
    </row>
    <row r="191" spans="1:11" x14ac:dyDescent="0.3">
      <c r="A191" t="s">
        <v>877</v>
      </c>
      <c r="B191" t="s">
        <v>1224</v>
      </c>
      <c r="C191" t="s">
        <v>198</v>
      </c>
      <c r="D191" t="s">
        <v>1384</v>
      </c>
      <c r="E191" t="s">
        <v>1575</v>
      </c>
      <c r="F191" t="s">
        <v>1760</v>
      </c>
      <c r="G191" t="s">
        <v>652</v>
      </c>
      <c r="H191" t="s">
        <v>2278</v>
      </c>
      <c r="I191" t="s">
        <v>2375</v>
      </c>
      <c r="J191" t="s">
        <v>2374</v>
      </c>
      <c r="K191" t="s">
        <v>2374</v>
      </c>
    </row>
    <row r="192" spans="1:11" x14ac:dyDescent="0.3">
      <c r="A192" t="s">
        <v>878</v>
      </c>
      <c r="B192" t="s">
        <v>1225</v>
      </c>
      <c r="C192" t="s">
        <v>201</v>
      </c>
      <c r="D192" t="s">
        <v>1384</v>
      </c>
      <c r="E192" t="s">
        <v>1576</v>
      </c>
      <c r="F192" t="s">
        <v>1833</v>
      </c>
      <c r="G192" t="s">
        <v>2041</v>
      </c>
      <c r="H192" t="s">
        <v>2279</v>
      </c>
      <c r="I192" t="s">
        <v>2374</v>
      </c>
      <c r="J192" t="s">
        <v>2375</v>
      </c>
      <c r="K192" t="s">
        <v>2374</v>
      </c>
    </row>
    <row r="193" spans="1:11" x14ac:dyDescent="0.3">
      <c r="A193" t="s">
        <v>879</v>
      </c>
      <c r="B193" t="s">
        <v>1226</v>
      </c>
      <c r="C193" t="s">
        <v>226</v>
      </c>
      <c r="D193" t="s">
        <v>1383</v>
      </c>
      <c r="E193" t="s">
        <v>1577</v>
      </c>
      <c r="F193" t="s">
        <v>1834</v>
      </c>
      <c r="G193" t="s">
        <v>2042</v>
      </c>
      <c r="H193" t="s">
        <v>2280</v>
      </c>
      <c r="I193" t="s">
        <v>2375</v>
      </c>
      <c r="J193" t="s">
        <v>2374</v>
      </c>
      <c r="K193" t="s">
        <v>2374</v>
      </c>
    </row>
    <row r="194" spans="1:11" x14ac:dyDescent="0.3">
      <c r="A194" t="s">
        <v>880</v>
      </c>
      <c r="B194" t="s">
        <v>1227</v>
      </c>
      <c r="C194" t="s">
        <v>196</v>
      </c>
      <c r="D194" t="s">
        <v>1385</v>
      </c>
      <c r="E194" t="s">
        <v>1578</v>
      </c>
      <c r="F194" t="s">
        <v>1740</v>
      </c>
      <c r="G194" t="s">
        <v>674</v>
      </c>
      <c r="H194" t="s">
        <v>651</v>
      </c>
      <c r="I194" t="s">
        <v>2375</v>
      </c>
      <c r="J194" t="s">
        <v>2375</v>
      </c>
      <c r="K194" t="s">
        <v>2374</v>
      </c>
    </row>
    <row r="195" spans="1:11" x14ac:dyDescent="0.3">
      <c r="A195" t="s">
        <v>881</v>
      </c>
      <c r="B195" t="s">
        <v>1228</v>
      </c>
      <c r="C195" t="s">
        <v>246</v>
      </c>
      <c r="D195" t="s">
        <v>1385</v>
      </c>
      <c r="E195" t="s">
        <v>1579</v>
      </c>
      <c r="F195" t="s">
        <v>1740</v>
      </c>
      <c r="G195" t="s">
        <v>2043</v>
      </c>
      <c r="H195" t="s">
        <v>656</v>
      </c>
      <c r="I195" t="s">
        <v>2375</v>
      </c>
      <c r="J195" t="s">
        <v>2375</v>
      </c>
      <c r="K195" t="s">
        <v>2375</v>
      </c>
    </row>
    <row r="196" spans="1:11" x14ac:dyDescent="0.3">
      <c r="A196" t="s">
        <v>882</v>
      </c>
      <c r="B196" t="s">
        <v>1229</v>
      </c>
      <c r="C196" t="s">
        <v>204</v>
      </c>
      <c r="D196" t="s">
        <v>1383</v>
      </c>
      <c r="E196" t="s">
        <v>1580</v>
      </c>
      <c r="F196" t="s">
        <v>1835</v>
      </c>
      <c r="G196" t="s">
        <v>2044</v>
      </c>
      <c r="H196" t="s">
        <v>2171</v>
      </c>
      <c r="I196" t="s">
        <v>2375</v>
      </c>
      <c r="J196" t="s">
        <v>2375</v>
      </c>
      <c r="K196" t="s">
        <v>2374</v>
      </c>
    </row>
    <row r="197" spans="1:11" x14ac:dyDescent="0.3">
      <c r="A197" t="s">
        <v>883</v>
      </c>
      <c r="B197" t="s">
        <v>1230</v>
      </c>
      <c r="C197" t="s">
        <v>199</v>
      </c>
      <c r="D197" t="s">
        <v>1383</v>
      </c>
      <c r="E197" t="s">
        <v>1581</v>
      </c>
      <c r="F197" t="s">
        <v>1836</v>
      </c>
      <c r="G197" t="s">
        <v>2045</v>
      </c>
      <c r="H197" t="s">
        <v>288</v>
      </c>
      <c r="I197" t="s">
        <v>2375</v>
      </c>
      <c r="J197" t="s">
        <v>2375</v>
      </c>
      <c r="K197" t="s">
        <v>2375</v>
      </c>
    </row>
    <row r="198" spans="1:11" x14ac:dyDescent="0.3">
      <c r="A198" t="s">
        <v>884</v>
      </c>
      <c r="B198" t="s">
        <v>1231</v>
      </c>
      <c r="C198" t="s">
        <v>245</v>
      </c>
      <c r="D198" t="s">
        <v>1383</v>
      </c>
      <c r="E198" t="s">
        <v>1582</v>
      </c>
      <c r="F198" t="s">
        <v>1837</v>
      </c>
      <c r="G198" t="s">
        <v>2046</v>
      </c>
      <c r="H198" t="s">
        <v>2281</v>
      </c>
      <c r="I198" t="s">
        <v>2375</v>
      </c>
      <c r="J198" t="s">
        <v>2374</v>
      </c>
      <c r="K198" t="s">
        <v>2375</v>
      </c>
    </row>
    <row r="199" spans="1:11" x14ac:dyDescent="0.3">
      <c r="A199" t="s">
        <v>885</v>
      </c>
      <c r="B199" t="s">
        <v>1232</v>
      </c>
      <c r="C199" t="s">
        <v>238</v>
      </c>
      <c r="D199" t="s">
        <v>1385</v>
      </c>
      <c r="E199" t="s">
        <v>1583</v>
      </c>
      <c r="F199" t="s">
        <v>1740</v>
      </c>
      <c r="G199" t="s">
        <v>2047</v>
      </c>
      <c r="H199" t="s">
        <v>2282</v>
      </c>
      <c r="I199" t="s">
        <v>2374</v>
      </c>
      <c r="J199" t="s">
        <v>2374</v>
      </c>
      <c r="K199" t="s">
        <v>2375</v>
      </c>
    </row>
    <row r="200" spans="1:11" x14ac:dyDescent="0.3">
      <c r="A200" t="s">
        <v>886</v>
      </c>
      <c r="B200" t="s">
        <v>1233</v>
      </c>
      <c r="C200" t="s">
        <v>211</v>
      </c>
      <c r="D200" t="s">
        <v>1383</v>
      </c>
      <c r="E200" t="s">
        <v>1584</v>
      </c>
      <c r="F200" t="s">
        <v>1838</v>
      </c>
      <c r="G200" t="s">
        <v>2048</v>
      </c>
      <c r="H200" t="s">
        <v>2283</v>
      </c>
      <c r="I200" t="s">
        <v>2374</v>
      </c>
      <c r="J200" t="s">
        <v>2374</v>
      </c>
      <c r="K200" t="s">
        <v>2374</v>
      </c>
    </row>
    <row r="201" spans="1:11" x14ac:dyDescent="0.3">
      <c r="A201" t="s">
        <v>887</v>
      </c>
      <c r="B201" t="s">
        <v>1234</v>
      </c>
      <c r="C201" t="s">
        <v>198</v>
      </c>
      <c r="D201" t="s">
        <v>1385</v>
      </c>
      <c r="E201" t="s">
        <v>1585</v>
      </c>
      <c r="F201" t="s">
        <v>1740</v>
      </c>
      <c r="G201" t="s">
        <v>2049</v>
      </c>
      <c r="H201" t="s">
        <v>666</v>
      </c>
      <c r="I201" t="s">
        <v>2374</v>
      </c>
      <c r="J201" t="s">
        <v>2374</v>
      </c>
      <c r="K201" t="s">
        <v>2375</v>
      </c>
    </row>
    <row r="202" spans="1:11" x14ac:dyDescent="0.3">
      <c r="A202" t="s">
        <v>888</v>
      </c>
      <c r="B202" t="s">
        <v>1235</v>
      </c>
      <c r="C202" t="s">
        <v>237</v>
      </c>
      <c r="D202" t="s">
        <v>1384</v>
      </c>
      <c r="E202" t="s">
        <v>1586</v>
      </c>
      <c r="F202" t="s">
        <v>1839</v>
      </c>
      <c r="G202" t="s">
        <v>2050</v>
      </c>
      <c r="H202" t="s">
        <v>401</v>
      </c>
      <c r="I202" t="s">
        <v>2375</v>
      </c>
      <c r="J202" t="s">
        <v>2374</v>
      </c>
      <c r="K202" t="s">
        <v>2375</v>
      </c>
    </row>
    <row r="203" spans="1:11" x14ac:dyDescent="0.3">
      <c r="A203" t="s">
        <v>889</v>
      </c>
      <c r="B203" t="s">
        <v>1236</v>
      </c>
      <c r="C203" t="s">
        <v>232</v>
      </c>
      <c r="D203" t="s">
        <v>1384</v>
      </c>
      <c r="E203" t="s">
        <v>1587</v>
      </c>
      <c r="F203" t="s">
        <v>1840</v>
      </c>
      <c r="G203" t="s">
        <v>643</v>
      </c>
      <c r="H203" t="s">
        <v>2284</v>
      </c>
      <c r="I203" t="s">
        <v>2375</v>
      </c>
      <c r="J203" t="s">
        <v>2374</v>
      </c>
      <c r="K203" t="s">
        <v>2375</v>
      </c>
    </row>
    <row r="204" spans="1:11" x14ac:dyDescent="0.3">
      <c r="A204" t="s">
        <v>890</v>
      </c>
      <c r="B204" t="s">
        <v>1237</v>
      </c>
      <c r="C204" t="s">
        <v>233</v>
      </c>
      <c r="D204" t="s">
        <v>1385</v>
      </c>
      <c r="E204" t="s">
        <v>1588</v>
      </c>
      <c r="F204" t="s">
        <v>1740</v>
      </c>
      <c r="G204" t="s">
        <v>380</v>
      </c>
      <c r="H204" t="s">
        <v>1775</v>
      </c>
      <c r="I204" t="s">
        <v>2374</v>
      </c>
      <c r="J204" t="s">
        <v>2374</v>
      </c>
      <c r="K204" t="s">
        <v>2374</v>
      </c>
    </row>
    <row r="205" spans="1:11" x14ac:dyDescent="0.3">
      <c r="A205" t="s">
        <v>891</v>
      </c>
      <c r="B205" t="s">
        <v>1238</v>
      </c>
      <c r="C205" t="s">
        <v>195</v>
      </c>
      <c r="D205" t="s">
        <v>1384</v>
      </c>
      <c r="E205" t="s">
        <v>1589</v>
      </c>
      <c r="F205" t="s">
        <v>1841</v>
      </c>
      <c r="G205" t="s">
        <v>497</v>
      </c>
      <c r="H205" t="s">
        <v>2285</v>
      </c>
      <c r="I205" t="s">
        <v>2374</v>
      </c>
      <c r="J205" t="s">
        <v>2374</v>
      </c>
      <c r="K205" t="s">
        <v>2374</v>
      </c>
    </row>
    <row r="206" spans="1:11" x14ac:dyDescent="0.3">
      <c r="A206" t="s">
        <v>892</v>
      </c>
      <c r="B206" t="s">
        <v>1239</v>
      </c>
      <c r="C206" t="s">
        <v>198</v>
      </c>
      <c r="D206" t="s">
        <v>1385</v>
      </c>
      <c r="E206" t="s">
        <v>1590</v>
      </c>
      <c r="F206" t="s">
        <v>1740</v>
      </c>
      <c r="G206" t="s">
        <v>2051</v>
      </c>
      <c r="H206" t="s">
        <v>2286</v>
      </c>
      <c r="I206" t="s">
        <v>2375</v>
      </c>
      <c r="J206" t="s">
        <v>2374</v>
      </c>
      <c r="K206" t="s">
        <v>2375</v>
      </c>
    </row>
    <row r="207" spans="1:11" x14ac:dyDescent="0.3">
      <c r="A207" t="s">
        <v>893</v>
      </c>
      <c r="B207" t="s">
        <v>1240</v>
      </c>
      <c r="C207" t="s">
        <v>191</v>
      </c>
      <c r="D207" t="s">
        <v>1384</v>
      </c>
      <c r="E207" t="s">
        <v>1591</v>
      </c>
      <c r="F207" t="s">
        <v>1842</v>
      </c>
      <c r="G207" t="s">
        <v>2052</v>
      </c>
      <c r="H207" t="s">
        <v>2287</v>
      </c>
      <c r="I207" t="s">
        <v>2375</v>
      </c>
      <c r="J207" t="s">
        <v>2374</v>
      </c>
      <c r="K207" t="s">
        <v>2374</v>
      </c>
    </row>
    <row r="208" spans="1:11" x14ac:dyDescent="0.3">
      <c r="A208" t="s">
        <v>894</v>
      </c>
      <c r="B208" t="s">
        <v>1241</v>
      </c>
      <c r="C208" t="s">
        <v>201</v>
      </c>
      <c r="D208" t="s">
        <v>1385</v>
      </c>
      <c r="E208" t="s">
        <v>1592</v>
      </c>
      <c r="F208" t="s">
        <v>1740</v>
      </c>
      <c r="G208" t="s">
        <v>621</v>
      </c>
      <c r="H208" t="s">
        <v>1900</v>
      </c>
      <c r="I208" t="s">
        <v>2374</v>
      </c>
      <c r="J208" t="s">
        <v>2374</v>
      </c>
      <c r="K208" t="s">
        <v>2375</v>
      </c>
    </row>
    <row r="209" spans="1:11" x14ac:dyDescent="0.3">
      <c r="A209" t="s">
        <v>895</v>
      </c>
      <c r="B209" t="s">
        <v>1242</v>
      </c>
      <c r="C209" t="s">
        <v>237</v>
      </c>
      <c r="D209" t="s">
        <v>1383</v>
      </c>
      <c r="E209" t="s">
        <v>1593</v>
      </c>
      <c r="F209" t="s">
        <v>398</v>
      </c>
      <c r="G209" t="s">
        <v>2053</v>
      </c>
      <c r="H209" t="s">
        <v>265</v>
      </c>
      <c r="I209" t="s">
        <v>2374</v>
      </c>
      <c r="J209" t="s">
        <v>2374</v>
      </c>
      <c r="K209" t="s">
        <v>2375</v>
      </c>
    </row>
    <row r="210" spans="1:11" x14ac:dyDescent="0.3">
      <c r="A210" t="s">
        <v>896</v>
      </c>
      <c r="B210" t="s">
        <v>1243</v>
      </c>
      <c r="C210" t="s">
        <v>247</v>
      </c>
      <c r="D210" t="s">
        <v>1383</v>
      </c>
      <c r="E210" t="s">
        <v>1594</v>
      </c>
      <c r="F210" t="s">
        <v>1843</v>
      </c>
      <c r="G210" t="s">
        <v>2054</v>
      </c>
      <c r="H210" t="s">
        <v>2288</v>
      </c>
      <c r="I210" t="s">
        <v>2375</v>
      </c>
      <c r="J210" t="s">
        <v>2374</v>
      </c>
      <c r="K210" t="s">
        <v>2374</v>
      </c>
    </row>
    <row r="211" spans="1:11" x14ac:dyDescent="0.3">
      <c r="A211" t="s">
        <v>897</v>
      </c>
      <c r="B211" t="s">
        <v>1244</v>
      </c>
      <c r="C211" t="s">
        <v>214</v>
      </c>
      <c r="D211" t="s">
        <v>1383</v>
      </c>
      <c r="E211" t="s">
        <v>1595</v>
      </c>
      <c r="F211" t="s">
        <v>1844</v>
      </c>
      <c r="G211" t="s">
        <v>2055</v>
      </c>
      <c r="H211" t="s">
        <v>2289</v>
      </c>
      <c r="I211" t="s">
        <v>2375</v>
      </c>
      <c r="J211" t="s">
        <v>2374</v>
      </c>
      <c r="K211" t="s">
        <v>2375</v>
      </c>
    </row>
    <row r="212" spans="1:11" x14ac:dyDescent="0.3">
      <c r="A212" t="s">
        <v>898</v>
      </c>
      <c r="B212" t="s">
        <v>1245</v>
      </c>
      <c r="C212" t="s">
        <v>213</v>
      </c>
      <c r="D212" t="s">
        <v>1384</v>
      </c>
      <c r="E212" t="s">
        <v>1596</v>
      </c>
      <c r="F212" t="s">
        <v>1845</v>
      </c>
      <c r="G212" t="s">
        <v>2056</v>
      </c>
      <c r="H212" t="s">
        <v>2290</v>
      </c>
      <c r="I212" t="s">
        <v>2374</v>
      </c>
      <c r="J212" t="s">
        <v>2374</v>
      </c>
      <c r="K212" t="s">
        <v>2375</v>
      </c>
    </row>
    <row r="213" spans="1:11" x14ac:dyDescent="0.3">
      <c r="A213" t="s">
        <v>899</v>
      </c>
      <c r="B213" t="s">
        <v>1246</v>
      </c>
      <c r="C213" t="s">
        <v>248</v>
      </c>
      <c r="D213" t="s">
        <v>1383</v>
      </c>
      <c r="E213" t="s">
        <v>1597</v>
      </c>
      <c r="F213" t="s">
        <v>1846</v>
      </c>
      <c r="G213" t="s">
        <v>2057</v>
      </c>
      <c r="H213" t="s">
        <v>658</v>
      </c>
      <c r="I213" t="s">
        <v>2374</v>
      </c>
      <c r="J213" t="s">
        <v>2374</v>
      </c>
      <c r="K213" t="s">
        <v>2374</v>
      </c>
    </row>
    <row r="214" spans="1:11" x14ac:dyDescent="0.3">
      <c r="A214" t="s">
        <v>900</v>
      </c>
      <c r="B214" t="s">
        <v>1247</v>
      </c>
      <c r="C214" t="s">
        <v>201</v>
      </c>
      <c r="D214" t="s">
        <v>1385</v>
      </c>
      <c r="E214" t="s">
        <v>1598</v>
      </c>
      <c r="F214" t="s">
        <v>1740</v>
      </c>
      <c r="G214" t="s">
        <v>2058</v>
      </c>
      <c r="H214" t="s">
        <v>489</v>
      </c>
      <c r="I214" t="s">
        <v>2375</v>
      </c>
      <c r="J214" t="s">
        <v>2374</v>
      </c>
      <c r="K214" t="s">
        <v>2375</v>
      </c>
    </row>
    <row r="215" spans="1:11" x14ac:dyDescent="0.3">
      <c r="A215" t="s">
        <v>901</v>
      </c>
      <c r="B215" t="s">
        <v>1248</v>
      </c>
      <c r="C215" t="s">
        <v>238</v>
      </c>
      <c r="D215" t="s">
        <v>1385</v>
      </c>
      <c r="E215" t="s">
        <v>1599</v>
      </c>
      <c r="F215" t="s">
        <v>1740</v>
      </c>
      <c r="G215" t="s">
        <v>479</v>
      </c>
      <c r="H215" t="s">
        <v>2117</v>
      </c>
      <c r="I215" t="s">
        <v>2375</v>
      </c>
      <c r="J215" t="s">
        <v>2374</v>
      </c>
      <c r="K215" t="s">
        <v>2375</v>
      </c>
    </row>
    <row r="216" spans="1:11" x14ac:dyDescent="0.3">
      <c r="A216" t="s">
        <v>902</v>
      </c>
      <c r="B216" t="s">
        <v>1249</v>
      </c>
      <c r="C216" t="s">
        <v>201</v>
      </c>
      <c r="D216" t="s">
        <v>1385</v>
      </c>
      <c r="E216" t="s">
        <v>1600</v>
      </c>
      <c r="F216" t="s">
        <v>1740</v>
      </c>
      <c r="G216" t="s">
        <v>2059</v>
      </c>
      <c r="H216" t="s">
        <v>2291</v>
      </c>
      <c r="I216" t="s">
        <v>2375</v>
      </c>
      <c r="J216" t="s">
        <v>2374</v>
      </c>
      <c r="K216" t="s">
        <v>2374</v>
      </c>
    </row>
    <row r="217" spans="1:11" x14ac:dyDescent="0.3">
      <c r="A217" t="s">
        <v>903</v>
      </c>
      <c r="B217" t="s">
        <v>1250</v>
      </c>
      <c r="C217" t="s">
        <v>219</v>
      </c>
      <c r="D217" t="s">
        <v>1383</v>
      </c>
      <c r="E217" t="s">
        <v>1601</v>
      </c>
      <c r="F217" t="s">
        <v>1847</v>
      </c>
      <c r="G217" t="s">
        <v>1885</v>
      </c>
      <c r="H217" t="s">
        <v>2292</v>
      </c>
      <c r="I217" t="s">
        <v>2375</v>
      </c>
      <c r="J217" t="s">
        <v>2374</v>
      </c>
      <c r="K217" t="s">
        <v>2375</v>
      </c>
    </row>
    <row r="218" spans="1:11" x14ac:dyDescent="0.3">
      <c r="A218" t="s">
        <v>904</v>
      </c>
      <c r="B218" t="s">
        <v>1251</v>
      </c>
      <c r="C218" t="s">
        <v>222</v>
      </c>
      <c r="D218" t="s">
        <v>1385</v>
      </c>
      <c r="E218" t="s">
        <v>1602</v>
      </c>
      <c r="F218" t="s">
        <v>1740</v>
      </c>
      <c r="G218" t="s">
        <v>2060</v>
      </c>
      <c r="H218" t="s">
        <v>2107</v>
      </c>
      <c r="I218" t="s">
        <v>2375</v>
      </c>
      <c r="J218" t="s">
        <v>2374</v>
      </c>
      <c r="K218" t="s">
        <v>2374</v>
      </c>
    </row>
    <row r="219" spans="1:11" x14ac:dyDescent="0.3">
      <c r="A219" t="s">
        <v>905</v>
      </c>
      <c r="B219" t="s">
        <v>1252</v>
      </c>
      <c r="C219" t="s">
        <v>217</v>
      </c>
      <c r="D219" t="s">
        <v>1383</v>
      </c>
      <c r="E219" t="s">
        <v>1603</v>
      </c>
      <c r="F219" t="s">
        <v>1848</v>
      </c>
      <c r="G219" t="s">
        <v>2061</v>
      </c>
      <c r="H219" t="s">
        <v>2293</v>
      </c>
      <c r="I219" t="s">
        <v>2374</v>
      </c>
      <c r="J219" t="s">
        <v>2374</v>
      </c>
      <c r="K219" t="s">
        <v>2374</v>
      </c>
    </row>
    <row r="220" spans="1:11" x14ac:dyDescent="0.3">
      <c r="A220" t="s">
        <v>906</v>
      </c>
      <c r="B220" t="s">
        <v>1253</v>
      </c>
      <c r="C220" t="s">
        <v>199</v>
      </c>
      <c r="D220" t="s">
        <v>1383</v>
      </c>
      <c r="E220" t="s">
        <v>1604</v>
      </c>
      <c r="F220" t="s">
        <v>1849</v>
      </c>
      <c r="G220" t="s">
        <v>2062</v>
      </c>
      <c r="H220" t="s">
        <v>2294</v>
      </c>
      <c r="I220" t="s">
        <v>2375</v>
      </c>
      <c r="J220" t="s">
        <v>2374</v>
      </c>
      <c r="K220" t="s">
        <v>2375</v>
      </c>
    </row>
    <row r="221" spans="1:11" x14ac:dyDescent="0.3">
      <c r="A221" t="s">
        <v>907</v>
      </c>
      <c r="B221" t="s">
        <v>1254</v>
      </c>
      <c r="C221" t="s">
        <v>221</v>
      </c>
      <c r="D221" t="s">
        <v>1385</v>
      </c>
      <c r="E221" t="s">
        <v>1605</v>
      </c>
      <c r="F221" t="s">
        <v>1740</v>
      </c>
      <c r="G221" t="s">
        <v>2063</v>
      </c>
      <c r="H221" t="s">
        <v>538</v>
      </c>
      <c r="I221" t="s">
        <v>2374</v>
      </c>
      <c r="J221" t="s">
        <v>2374</v>
      </c>
      <c r="K221" t="s">
        <v>2375</v>
      </c>
    </row>
    <row r="222" spans="1:11" x14ac:dyDescent="0.3">
      <c r="A222" t="s">
        <v>908</v>
      </c>
      <c r="B222" t="s">
        <v>1255</v>
      </c>
      <c r="C222" t="s">
        <v>246</v>
      </c>
      <c r="D222" t="s">
        <v>1383</v>
      </c>
      <c r="E222" t="s">
        <v>1606</v>
      </c>
      <c r="F222" t="s">
        <v>316</v>
      </c>
      <c r="G222" t="s">
        <v>2064</v>
      </c>
      <c r="H222" t="s">
        <v>352</v>
      </c>
      <c r="I222" t="s">
        <v>2374</v>
      </c>
      <c r="J222" t="s">
        <v>2374</v>
      </c>
      <c r="K222" t="s">
        <v>2374</v>
      </c>
    </row>
    <row r="223" spans="1:11" x14ac:dyDescent="0.3">
      <c r="A223" t="s">
        <v>909</v>
      </c>
      <c r="B223" t="s">
        <v>1256</v>
      </c>
      <c r="C223" t="s">
        <v>223</v>
      </c>
      <c r="D223" t="s">
        <v>1383</v>
      </c>
      <c r="E223" t="s">
        <v>1607</v>
      </c>
      <c r="F223" t="s">
        <v>1850</v>
      </c>
      <c r="G223" t="s">
        <v>625</v>
      </c>
      <c r="H223" t="s">
        <v>2295</v>
      </c>
      <c r="I223" t="s">
        <v>2375</v>
      </c>
      <c r="J223" t="s">
        <v>2374</v>
      </c>
      <c r="K223" t="s">
        <v>2375</v>
      </c>
    </row>
    <row r="224" spans="1:11" x14ac:dyDescent="0.3">
      <c r="A224" t="s">
        <v>910</v>
      </c>
      <c r="B224" t="s">
        <v>1257</v>
      </c>
      <c r="C224" t="s">
        <v>245</v>
      </c>
      <c r="D224" t="s">
        <v>1384</v>
      </c>
      <c r="E224" t="s">
        <v>1608</v>
      </c>
      <c r="F224" t="s">
        <v>1851</v>
      </c>
      <c r="G224" t="s">
        <v>2065</v>
      </c>
      <c r="H224" t="s">
        <v>268</v>
      </c>
      <c r="I224" t="s">
        <v>2374</v>
      </c>
      <c r="J224" t="s">
        <v>2374</v>
      </c>
      <c r="K224" t="s">
        <v>2374</v>
      </c>
    </row>
    <row r="225" spans="1:11" x14ac:dyDescent="0.3">
      <c r="A225" t="s">
        <v>911</v>
      </c>
      <c r="B225" t="s">
        <v>1258</v>
      </c>
      <c r="C225" t="s">
        <v>226</v>
      </c>
      <c r="D225" t="s">
        <v>1383</v>
      </c>
      <c r="E225" t="s">
        <v>1609</v>
      </c>
      <c r="F225" t="s">
        <v>1852</v>
      </c>
      <c r="G225" t="s">
        <v>2066</v>
      </c>
      <c r="H225" t="s">
        <v>2296</v>
      </c>
      <c r="I225" t="s">
        <v>2374</v>
      </c>
      <c r="J225" t="s">
        <v>2374</v>
      </c>
      <c r="K225" t="s">
        <v>2375</v>
      </c>
    </row>
    <row r="226" spans="1:11" x14ac:dyDescent="0.3">
      <c r="A226" t="s">
        <v>912</v>
      </c>
      <c r="B226" t="s">
        <v>1259</v>
      </c>
      <c r="C226" t="s">
        <v>234</v>
      </c>
      <c r="D226" t="s">
        <v>1383</v>
      </c>
      <c r="E226" t="s">
        <v>1610</v>
      </c>
      <c r="F226" t="s">
        <v>397</v>
      </c>
      <c r="G226" t="s">
        <v>2067</v>
      </c>
      <c r="H226" t="s">
        <v>2297</v>
      </c>
      <c r="I226" t="s">
        <v>2374</v>
      </c>
      <c r="J226" t="s">
        <v>2374</v>
      </c>
      <c r="K226" t="s">
        <v>2374</v>
      </c>
    </row>
    <row r="227" spans="1:11" x14ac:dyDescent="0.3">
      <c r="A227" t="s">
        <v>913</v>
      </c>
      <c r="B227" t="s">
        <v>1260</v>
      </c>
      <c r="C227" t="s">
        <v>211</v>
      </c>
      <c r="D227" t="s">
        <v>1384</v>
      </c>
      <c r="E227" t="s">
        <v>1611</v>
      </c>
      <c r="F227" t="s">
        <v>1853</v>
      </c>
      <c r="G227" t="s">
        <v>2068</v>
      </c>
      <c r="H227" t="s">
        <v>2298</v>
      </c>
      <c r="I227" t="s">
        <v>2374</v>
      </c>
      <c r="J227" t="s">
        <v>2374</v>
      </c>
      <c r="K227" t="s">
        <v>2374</v>
      </c>
    </row>
    <row r="228" spans="1:11" x14ac:dyDescent="0.3">
      <c r="A228" t="s">
        <v>914</v>
      </c>
      <c r="B228" t="s">
        <v>1261</v>
      </c>
      <c r="C228" t="s">
        <v>232</v>
      </c>
      <c r="D228" t="s">
        <v>1384</v>
      </c>
      <c r="E228" t="s">
        <v>1612</v>
      </c>
      <c r="F228" t="s">
        <v>1854</v>
      </c>
      <c r="G228" t="s">
        <v>2069</v>
      </c>
      <c r="H228" t="s">
        <v>2278</v>
      </c>
      <c r="I228" t="s">
        <v>2375</v>
      </c>
      <c r="J228" t="s">
        <v>2374</v>
      </c>
      <c r="K228" t="s">
        <v>2374</v>
      </c>
    </row>
    <row r="229" spans="1:11" x14ac:dyDescent="0.3">
      <c r="A229" t="s">
        <v>915</v>
      </c>
      <c r="B229" t="s">
        <v>1262</v>
      </c>
      <c r="C229" t="s">
        <v>205</v>
      </c>
      <c r="D229" t="s">
        <v>1383</v>
      </c>
      <c r="E229" t="s">
        <v>1613</v>
      </c>
      <c r="F229" t="s">
        <v>1855</v>
      </c>
      <c r="G229" t="s">
        <v>2070</v>
      </c>
      <c r="H229" t="s">
        <v>2299</v>
      </c>
      <c r="I229" t="s">
        <v>2374</v>
      </c>
      <c r="J229" t="s">
        <v>2374</v>
      </c>
      <c r="K229" t="s">
        <v>2374</v>
      </c>
    </row>
    <row r="230" spans="1:11" x14ac:dyDescent="0.3">
      <c r="A230" t="s">
        <v>916</v>
      </c>
      <c r="B230" t="s">
        <v>1263</v>
      </c>
      <c r="C230" t="s">
        <v>218</v>
      </c>
      <c r="D230" t="s">
        <v>1385</v>
      </c>
      <c r="E230" t="s">
        <v>1614</v>
      </c>
      <c r="F230" t="s">
        <v>1740</v>
      </c>
      <c r="G230" t="s">
        <v>2071</v>
      </c>
      <c r="H230" t="s">
        <v>2300</v>
      </c>
      <c r="I230" t="s">
        <v>2374</v>
      </c>
      <c r="J230" t="s">
        <v>2374</v>
      </c>
      <c r="K230" t="s">
        <v>2374</v>
      </c>
    </row>
    <row r="231" spans="1:11" x14ac:dyDescent="0.3">
      <c r="A231" t="s">
        <v>917</v>
      </c>
      <c r="B231" t="s">
        <v>1264</v>
      </c>
      <c r="C231" t="s">
        <v>243</v>
      </c>
      <c r="D231" t="s">
        <v>1385</v>
      </c>
      <c r="E231" t="s">
        <v>1615</v>
      </c>
      <c r="F231" t="s">
        <v>1740</v>
      </c>
      <c r="G231" t="s">
        <v>357</v>
      </c>
      <c r="H231" t="s">
        <v>2301</v>
      </c>
      <c r="I231" t="s">
        <v>2374</v>
      </c>
      <c r="J231" t="s">
        <v>2374</v>
      </c>
      <c r="K231" t="s">
        <v>2375</v>
      </c>
    </row>
    <row r="232" spans="1:11" x14ac:dyDescent="0.3">
      <c r="A232" t="s">
        <v>918</v>
      </c>
      <c r="B232" t="s">
        <v>1265</v>
      </c>
      <c r="C232" t="s">
        <v>249</v>
      </c>
      <c r="D232" t="s">
        <v>1385</v>
      </c>
      <c r="E232" t="s">
        <v>1616</v>
      </c>
      <c r="F232" t="s">
        <v>1740</v>
      </c>
      <c r="G232" t="s">
        <v>2072</v>
      </c>
      <c r="H232" t="s">
        <v>2302</v>
      </c>
      <c r="I232" t="s">
        <v>2375</v>
      </c>
      <c r="J232" t="s">
        <v>2374</v>
      </c>
      <c r="K232" t="s">
        <v>2374</v>
      </c>
    </row>
    <row r="233" spans="1:11" x14ac:dyDescent="0.3">
      <c r="A233" t="s">
        <v>919</v>
      </c>
      <c r="B233" t="s">
        <v>1266</v>
      </c>
      <c r="C233" t="s">
        <v>200</v>
      </c>
      <c r="D233" t="s">
        <v>1383</v>
      </c>
      <c r="E233" t="s">
        <v>1617</v>
      </c>
      <c r="F233" t="s">
        <v>1856</v>
      </c>
      <c r="G233" t="s">
        <v>2073</v>
      </c>
      <c r="H233" t="s">
        <v>2303</v>
      </c>
      <c r="I233" t="s">
        <v>2374</v>
      </c>
      <c r="J233" t="s">
        <v>2374</v>
      </c>
      <c r="K233" t="s">
        <v>2374</v>
      </c>
    </row>
    <row r="234" spans="1:11" x14ac:dyDescent="0.3">
      <c r="A234" t="s">
        <v>920</v>
      </c>
      <c r="B234" t="s">
        <v>1267</v>
      </c>
      <c r="C234" t="s">
        <v>235</v>
      </c>
      <c r="D234" t="s">
        <v>1383</v>
      </c>
      <c r="E234" t="s">
        <v>1618</v>
      </c>
      <c r="F234" t="s">
        <v>1857</v>
      </c>
      <c r="G234" t="s">
        <v>2074</v>
      </c>
      <c r="H234" t="s">
        <v>2304</v>
      </c>
      <c r="I234" t="s">
        <v>2375</v>
      </c>
      <c r="J234" t="s">
        <v>2375</v>
      </c>
      <c r="K234" t="s">
        <v>2374</v>
      </c>
    </row>
    <row r="235" spans="1:11" x14ac:dyDescent="0.3">
      <c r="A235" t="s">
        <v>921</v>
      </c>
      <c r="B235" t="s">
        <v>1268</v>
      </c>
      <c r="C235" t="s">
        <v>206</v>
      </c>
      <c r="D235" t="s">
        <v>1384</v>
      </c>
      <c r="E235" t="s">
        <v>1619</v>
      </c>
      <c r="F235" t="s">
        <v>1858</v>
      </c>
      <c r="G235" t="s">
        <v>660</v>
      </c>
      <c r="H235" t="s">
        <v>2207</v>
      </c>
      <c r="I235" t="s">
        <v>2374</v>
      </c>
      <c r="J235" t="s">
        <v>2374</v>
      </c>
      <c r="K235" t="s">
        <v>2375</v>
      </c>
    </row>
    <row r="236" spans="1:11" x14ac:dyDescent="0.3">
      <c r="A236" t="s">
        <v>922</v>
      </c>
      <c r="B236" t="s">
        <v>1269</v>
      </c>
      <c r="C236" t="s">
        <v>217</v>
      </c>
      <c r="D236" t="s">
        <v>1385</v>
      </c>
      <c r="E236" t="s">
        <v>1620</v>
      </c>
      <c r="F236" t="s">
        <v>1740</v>
      </c>
      <c r="G236" t="s">
        <v>499</v>
      </c>
      <c r="H236" t="s">
        <v>2140</v>
      </c>
      <c r="I236" t="s">
        <v>2375</v>
      </c>
      <c r="J236" t="s">
        <v>2374</v>
      </c>
      <c r="K236" t="s">
        <v>2374</v>
      </c>
    </row>
    <row r="237" spans="1:11" x14ac:dyDescent="0.3">
      <c r="A237" t="s">
        <v>923</v>
      </c>
      <c r="B237" t="s">
        <v>1270</v>
      </c>
      <c r="C237" t="s">
        <v>194</v>
      </c>
      <c r="D237" t="s">
        <v>1383</v>
      </c>
      <c r="E237" t="s">
        <v>1621</v>
      </c>
      <c r="F237" t="s">
        <v>1859</v>
      </c>
      <c r="G237" t="s">
        <v>2075</v>
      </c>
      <c r="H237" t="s">
        <v>1802</v>
      </c>
      <c r="I237" t="s">
        <v>2375</v>
      </c>
      <c r="J237" t="s">
        <v>2375</v>
      </c>
      <c r="K237" t="s">
        <v>2374</v>
      </c>
    </row>
    <row r="238" spans="1:11" x14ac:dyDescent="0.3">
      <c r="A238" t="s">
        <v>924</v>
      </c>
      <c r="B238" t="s">
        <v>1271</v>
      </c>
      <c r="C238" t="s">
        <v>247</v>
      </c>
      <c r="D238" t="s">
        <v>1385</v>
      </c>
      <c r="E238" t="s">
        <v>1622</v>
      </c>
      <c r="F238" t="s">
        <v>1740</v>
      </c>
      <c r="G238" t="s">
        <v>2076</v>
      </c>
      <c r="H238" t="s">
        <v>2305</v>
      </c>
      <c r="I238" t="s">
        <v>2375</v>
      </c>
      <c r="J238" t="s">
        <v>2375</v>
      </c>
      <c r="K238" t="s">
        <v>2374</v>
      </c>
    </row>
    <row r="239" spans="1:11" x14ac:dyDescent="0.3">
      <c r="A239" t="s">
        <v>925</v>
      </c>
      <c r="B239" t="s">
        <v>1272</v>
      </c>
      <c r="C239" t="s">
        <v>248</v>
      </c>
      <c r="D239" t="s">
        <v>1385</v>
      </c>
      <c r="E239" t="s">
        <v>1623</v>
      </c>
      <c r="F239" t="s">
        <v>1740</v>
      </c>
      <c r="G239" t="s">
        <v>2077</v>
      </c>
      <c r="H239" t="s">
        <v>453</v>
      </c>
      <c r="I239" t="s">
        <v>2375</v>
      </c>
      <c r="J239" t="s">
        <v>2375</v>
      </c>
      <c r="K239" t="s">
        <v>2374</v>
      </c>
    </row>
    <row r="240" spans="1:11" x14ac:dyDescent="0.3">
      <c r="A240" t="s">
        <v>926</v>
      </c>
      <c r="B240" t="s">
        <v>1273</v>
      </c>
      <c r="C240" t="s">
        <v>195</v>
      </c>
      <c r="D240" t="s">
        <v>1385</v>
      </c>
      <c r="E240" t="s">
        <v>1624</v>
      </c>
      <c r="F240" t="s">
        <v>1740</v>
      </c>
      <c r="G240" t="s">
        <v>602</v>
      </c>
      <c r="H240" t="s">
        <v>314</v>
      </c>
      <c r="I240" t="s">
        <v>2374</v>
      </c>
      <c r="J240" t="s">
        <v>2374</v>
      </c>
      <c r="K240" t="s">
        <v>2375</v>
      </c>
    </row>
    <row r="241" spans="1:11" x14ac:dyDescent="0.3">
      <c r="A241" t="s">
        <v>927</v>
      </c>
      <c r="B241" t="s">
        <v>1274</v>
      </c>
      <c r="C241" t="s">
        <v>223</v>
      </c>
      <c r="D241" t="s">
        <v>1383</v>
      </c>
      <c r="E241" t="s">
        <v>1625</v>
      </c>
      <c r="F241" t="s">
        <v>1860</v>
      </c>
      <c r="G241" t="s">
        <v>2078</v>
      </c>
      <c r="H241" t="s">
        <v>2306</v>
      </c>
      <c r="I241" t="s">
        <v>2374</v>
      </c>
      <c r="J241" t="s">
        <v>2375</v>
      </c>
      <c r="K241" t="s">
        <v>2374</v>
      </c>
    </row>
    <row r="242" spans="1:11" x14ac:dyDescent="0.3">
      <c r="A242" t="s">
        <v>928</v>
      </c>
      <c r="B242" t="s">
        <v>1275</v>
      </c>
      <c r="C242" t="s">
        <v>221</v>
      </c>
      <c r="D242" t="s">
        <v>1383</v>
      </c>
      <c r="E242" t="s">
        <v>1626</v>
      </c>
      <c r="F242" t="s">
        <v>296</v>
      </c>
      <c r="G242" t="s">
        <v>2079</v>
      </c>
      <c r="H242" t="s">
        <v>1930</v>
      </c>
      <c r="I242" t="s">
        <v>2374</v>
      </c>
      <c r="J242" t="s">
        <v>2374</v>
      </c>
      <c r="K242" t="s">
        <v>2374</v>
      </c>
    </row>
    <row r="243" spans="1:11" x14ac:dyDescent="0.3">
      <c r="A243" t="s">
        <v>929</v>
      </c>
      <c r="B243" t="s">
        <v>1276</v>
      </c>
      <c r="C243" t="s">
        <v>236</v>
      </c>
      <c r="D243" t="s">
        <v>1385</v>
      </c>
      <c r="E243" t="s">
        <v>1627</v>
      </c>
      <c r="F243" t="s">
        <v>1740</v>
      </c>
      <c r="G243" t="s">
        <v>2080</v>
      </c>
      <c r="H243" t="s">
        <v>668</v>
      </c>
      <c r="I243" t="s">
        <v>2374</v>
      </c>
      <c r="J243" t="s">
        <v>2374</v>
      </c>
      <c r="K243" t="s">
        <v>2375</v>
      </c>
    </row>
    <row r="244" spans="1:11" x14ac:dyDescent="0.3">
      <c r="A244" t="s">
        <v>930</v>
      </c>
      <c r="B244" t="s">
        <v>1277</v>
      </c>
      <c r="C244" t="s">
        <v>196</v>
      </c>
      <c r="D244" t="s">
        <v>1384</v>
      </c>
      <c r="E244" t="s">
        <v>1628</v>
      </c>
      <c r="F244" t="s">
        <v>1861</v>
      </c>
      <c r="G244" t="s">
        <v>2081</v>
      </c>
      <c r="H244" t="s">
        <v>409</v>
      </c>
      <c r="I244" t="s">
        <v>2375</v>
      </c>
      <c r="J244" t="s">
        <v>2374</v>
      </c>
      <c r="K244" t="s">
        <v>2374</v>
      </c>
    </row>
    <row r="245" spans="1:11" x14ac:dyDescent="0.3">
      <c r="A245" t="s">
        <v>931</v>
      </c>
      <c r="B245" t="s">
        <v>1278</v>
      </c>
      <c r="C245" t="s">
        <v>214</v>
      </c>
      <c r="D245" t="s">
        <v>1383</v>
      </c>
      <c r="E245" t="s">
        <v>1629</v>
      </c>
      <c r="F245" t="s">
        <v>494</v>
      </c>
      <c r="G245" t="s">
        <v>2082</v>
      </c>
      <c r="H245" t="s">
        <v>1784</v>
      </c>
      <c r="I245" t="s">
        <v>2375</v>
      </c>
      <c r="J245" t="s">
        <v>2375</v>
      </c>
      <c r="K245" t="s">
        <v>2374</v>
      </c>
    </row>
    <row r="246" spans="1:11" x14ac:dyDescent="0.3">
      <c r="A246" t="s">
        <v>932</v>
      </c>
      <c r="B246" t="s">
        <v>1279</v>
      </c>
      <c r="C246" t="s">
        <v>213</v>
      </c>
      <c r="D246" t="s">
        <v>1383</v>
      </c>
      <c r="E246" t="s">
        <v>1630</v>
      </c>
      <c r="F246" t="s">
        <v>1862</v>
      </c>
      <c r="G246" t="s">
        <v>2083</v>
      </c>
      <c r="H246" t="s">
        <v>2307</v>
      </c>
      <c r="I246" t="s">
        <v>2374</v>
      </c>
      <c r="J246" t="s">
        <v>2375</v>
      </c>
      <c r="K246" t="s">
        <v>2375</v>
      </c>
    </row>
    <row r="247" spans="1:11" x14ac:dyDescent="0.3">
      <c r="A247" t="s">
        <v>933</v>
      </c>
      <c r="B247" t="s">
        <v>1280</v>
      </c>
      <c r="C247" t="s">
        <v>203</v>
      </c>
      <c r="D247" t="s">
        <v>1385</v>
      </c>
      <c r="E247" t="s">
        <v>1631</v>
      </c>
      <c r="F247" t="s">
        <v>1740</v>
      </c>
      <c r="G247" t="s">
        <v>2084</v>
      </c>
      <c r="H247" t="s">
        <v>2308</v>
      </c>
      <c r="I247" t="s">
        <v>2375</v>
      </c>
      <c r="J247" t="s">
        <v>2375</v>
      </c>
      <c r="K247" t="s">
        <v>2374</v>
      </c>
    </row>
    <row r="248" spans="1:11" x14ac:dyDescent="0.3">
      <c r="A248" t="s">
        <v>934</v>
      </c>
      <c r="B248" t="s">
        <v>1281</v>
      </c>
      <c r="C248" t="s">
        <v>233</v>
      </c>
      <c r="D248" t="s">
        <v>1384</v>
      </c>
      <c r="E248" t="s">
        <v>1632</v>
      </c>
      <c r="F248" t="s">
        <v>1863</v>
      </c>
      <c r="G248" t="s">
        <v>2085</v>
      </c>
      <c r="H248" t="s">
        <v>407</v>
      </c>
      <c r="I248" t="s">
        <v>2375</v>
      </c>
      <c r="J248" t="s">
        <v>2375</v>
      </c>
      <c r="K248" t="s">
        <v>2375</v>
      </c>
    </row>
    <row r="249" spans="1:11" x14ac:dyDescent="0.3">
      <c r="A249" t="s">
        <v>935</v>
      </c>
      <c r="B249" t="s">
        <v>1282</v>
      </c>
      <c r="C249" t="s">
        <v>221</v>
      </c>
      <c r="D249" t="s">
        <v>1385</v>
      </c>
      <c r="E249" t="s">
        <v>1633</v>
      </c>
      <c r="F249" t="s">
        <v>1740</v>
      </c>
      <c r="G249" t="s">
        <v>1964</v>
      </c>
      <c r="H249" t="s">
        <v>2309</v>
      </c>
      <c r="I249" t="s">
        <v>2374</v>
      </c>
      <c r="J249" t="s">
        <v>2375</v>
      </c>
      <c r="K249" t="s">
        <v>2375</v>
      </c>
    </row>
    <row r="250" spans="1:11" x14ac:dyDescent="0.3">
      <c r="A250" t="s">
        <v>936</v>
      </c>
      <c r="B250" t="s">
        <v>1283</v>
      </c>
      <c r="C250" t="s">
        <v>191</v>
      </c>
      <c r="D250" t="s">
        <v>1384</v>
      </c>
      <c r="E250" t="s">
        <v>1634</v>
      </c>
      <c r="F250" t="s">
        <v>1864</v>
      </c>
      <c r="G250" t="s">
        <v>319</v>
      </c>
      <c r="H250" t="s">
        <v>2310</v>
      </c>
      <c r="I250" t="s">
        <v>2375</v>
      </c>
      <c r="J250" t="s">
        <v>2375</v>
      </c>
      <c r="K250" t="s">
        <v>2374</v>
      </c>
    </row>
    <row r="251" spans="1:11" x14ac:dyDescent="0.3">
      <c r="A251" t="s">
        <v>937</v>
      </c>
      <c r="B251" t="s">
        <v>1284</v>
      </c>
      <c r="C251" t="s">
        <v>190</v>
      </c>
      <c r="D251" t="s">
        <v>1383</v>
      </c>
      <c r="E251" t="s">
        <v>1635</v>
      </c>
      <c r="F251" t="s">
        <v>1865</v>
      </c>
      <c r="G251" t="s">
        <v>2086</v>
      </c>
      <c r="H251" t="s">
        <v>496</v>
      </c>
      <c r="I251" t="s">
        <v>2374</v>
      </c>
      <c r="J251" t="s">
        <v>2375</v>
      </c>
      <c r="K251" t="s">
        <v>2374</v>
      </c>
    </row>
    <row r="252" spans="1:11" x14ac:dyDescent="0.3">
      <c r="A252" t="s">
        <v>938</v>
      </c>
      <c r="B252" t="s">
        <v>1285</v>
      </c>
      <c r="C252" t="s">
        <v>228</v>
      </c>
      <c r="D252" t="s">
        <v>1384</v>
      </c>
      <c r="E252" t="s">
        <v>1636</v>
      </c>
      <c r="F252" t="s">
        <v>1866</v>
      </c>
      <c r="G252" t="s">
        <v>1965</v>
      </c>
      <c r="H252" t="s">
        <v>2311</v>
      </c>
      <c r="I252" t="s">
        <v>2374</v>
      </c>
      <c r="J252" t="s">
        <v>2374</v>
      </c>
      <c r="K252" t="s">
        <v>2374</v>
      </c>
    </row>
    <row r="253" spans="1:11" x14ac:dyDescent="0.3">
      <c r="A253" t="s">
        <v>939</v>
      </c>
      <c r="B253" t="s">
        <v>1286</v>
      </c>
      <c r="C253" t="s">
        <v>249</v>
      </c>
      <c r="D253" t="s">
        <v>1385</v>
      </c>
      <c r="E253" t="s">
        <v>1637</v>
      </c>
      <c r="F253" t="s">
        <v>1740</v>
      </c>
      <c r="G253" t="s">
        <v>2087</v>
      </c>
      <c r="H253" t="s">
        <v>2312</v>
      </c>
      <c r="I253" t="s">
        <v>2375</v>
      </c>
      <c r="J253" t="s">
        <v>2374</v>
      </c>
      <c r="K253" t="s">
        <v>2374</v>
      </c>
    </row>
    <row r="254" spans="1:11" x14ac:dyDescent="0.3">
      <c r="A254" t="s">
        <v>940</v>
      </c>
      <c r="B254" t="s">
        <v>1287</v>
      </c>
      <c r="C254" t="s">
        <v>191</v>
      </c>
      <c r="D254" t="s">
        <v>1385</v>
      </c>
      <c r="E254" t="s">
        <v>1638</v>
      </c>
      <c r="F254" t="s">
        <v>1740</v>
      </c>
      <c r="G254" t="s">
        <v>2088</v>
      </c>
      <c r="H254" t="s">
        <v>2313</v>
      </c>
      <c r="I254" t="s">
        <v>2375</v>
      </c>
      <c r="J254" t="s">
        <v>2374</v>
      </c>
      <c r="K254" t="s">
        <v>2374</v>
      </c>
    </row>
    <row r="255" spans="1:11" x14ac:dyDescent="0.3">
      <c r="A255" t="s">
        <v>941</v>
      </c>
      <c r="B255" t="s">
        <v>1288</v>
      </c>
      <c r="C255" t="s">
        <v>218</v>
      </c>
      <c r="D255" t="s">
        <v>1384</v>
      </c>
      <c r="E255" t="s">
        <v>1639</v>
      </c>
      <c r="F255" t="s">
        <v>1867</v>
      </c>
      <c r="G255" t="s">
        <v>2089</v>
      </c>
      <c r="H255" t="s">
        <v>2314</v>
      </c>
      <c r="I255" t="s">
        <v>2375</v>
      </c>
      <c r="J255" t="s">
        <v>2374</v>
      </c>
      <c r="K255" t="s">
        <v>2374</v>
      </c>
    </row>
    <row r="256" spans="1:11" x14ac:dyDescent="0.3">
      <c r="A256" t="s">
        <v>942</v>
      </c>
      <c r="B256" t="s">
        <v>1289</v>
      </c>
      <c r="C256" t="s">
        <v>245</v>
      </c>
      <c r="D256" t="s">
        <v>1383</v>
      </c>
      <c r="E256" t="s">
        <v>1640</v>
      </c>
      <c r="F256" t="s">
        <v>1868</v>
      </c>
      <c r="G256" t="s">
        <v>2090</v>
      </c>
      <c r="H256" t="s">
        <v>2315</v>
      </c>
      <c r="I256" t="s">
        <v>2374</v>
      </c>
      <c r="J256" t="s">
        <v>2374</v>
      </c>
      <c r="K256" t="s">
        <v>2374</v>
      </c>
    </row>
    <row r="257" spans="1:11" x14ac:dyDescent="0.3">
      <c r="A257" t="s">
        <v>943</v>
      </c>
      <c r="B257" t="s">
        <v>1290</v>
      </c>
      <c r="C257" t="s">
        <v>244</v>
      </c>
      <c r="D257" t="s">
        <v>1383</v>
      </c>
      <c r="E257" t="s">
        <v>1641</v>
      </c>
      <c r="F257" t="s">
        <v>1869</v>
      </c>
      <c r="G257" t="s">
        <v>2091</v>
      </c>
      <c r="H257" t="s">
        <v>2316</v>
      </c>
      <c r="I257" t="s">
        <v>2374</v>
      </c>
      <c r="J257" t="s">
        <v>2374</v>
      </c>
      <c r="K257" t="s">
        <v>2374</v>
      </c>
    </row>
    <row r="258" spans="1:11" x14ac:dyDescent="0.3">
      <c r="A258" t="s">
        <v>944</v>
      </c>
      <c r="B258" t="s">
        <v>1291</v>
      </c>
      <c r="C258" t="s">
        <v>201</v>
      </c>
      <c r="D258" t="s">
        <v>1385</v>
      </c>
      <c r="E258" t="s">
        <v>1642</v>
      </c>
      <c r="F258" t="s">
        <v>1740</v>
      </c>
      <c r="G258" t="s">
        <v>2092</v>
      </c>
      <c r="H258" t="s">
        <v>2317</v>
      </c>
      <c r="I258" t="s">
        <v>2375</v>
      </c>
      <c r="J258" t="s">
        <v>2374</v>
      </c>
      <c r="K258" t="s">
        <v>2374</v>
      </c>
    </row>
    <row r="259" spans="1:11" x14ac:dyDescent="0.3">
      <c r="A259" t="s">
        <v>945</v>
      </c>
      <c r="B259" t="s">
        <v>1292</v>
      </c>
      <c r="C259" t="s">
        <v>229</v>
      </c>
      <c r="D259" t="s">
        <v>1384</v>
      </c>
      <c r="E259" t="s">
        <v>1643</v>
      </c>
      <c r="F259" t="s">
        <v>1870</v>
      </c>
      <c r="G259" t="s">
        <v>512</v>
      </c>
      <c r="H259" t="s">
        <v>2010</v>
      </c>
      <c r="I259" t="s">
        <v>2374</v>
      </c>
      <c r="J259" t="s">
        <v>2374</v>
      </c>
      <c r="K259" t="s">
        <v>2374</v>
      </c>
    </row>
    <row r="260" spans="1:11" x14ac:dyDescent="0.3">
      <c r="A260" t="s">
        <v>946</v>
      </c>
      <c r="B260" t="s">
        <v>1293</v>
      </c>
      <c r="C260" t="s">
        <v>245</v>
      </c>
      <c r="D260" t="s">
        <v>1383</v>
      </c>
      <c r="E260" t="s">
        <v>1644</v>
      </c>
      <c r="F260" t="s">
        <v>1871</v>
      </c>
      <c r="G260" t="s">
        <v>2093</v>
      </c>
      <c r="H260" t="s">
        <v>2318</v>
      </c>
      <c r="I260" t="s">
        <v>2374</v>
      </c>
      <c r="J260" t="s">
        <v>2374</v>
      </c>
      <c r="K260" t="s">
        <v>2374</v>
      </c>
    </row>
    <row r="261" spans="1:11" x14ac:dyDescent="0.3">
      <c r="A261" t="s">
        <v>947</v>
      </c>
      <c r="B261" t="s">
        <v>1294</v>
      </c>
      <c r="C261" t="s">
        <v>219</v>
      </c>
      <c r="D261" t="s">
        <v>1385</v>
      </c>
      <c r="E261" t="s">
        <v>1645</v>
      </c>
      <c r="F261" t="s">
        <v>1740</v>
      </c>
      <c r="G261" t="s">
        <v>2094</v>
      </c>
      <c r="H261" t="s">
        <v>2319</v>
      </c>
      <c r="I261" t="s">
        <v>2375</v>
      </c>
      <c r="J261" t="s">
        <v>2374</v>
      </c>
      <c r="K261" t="s">
        <v>2374</v>
      </c>
    </row>
    <row r="262" spans="1:11" x14ac:dyDescent="0.3">
      <c r="A262" t="s">
        <v>948</v>
      </c>
      <c r="B262" t="s">
        <v>1295</v>
      </c>
      <c r="C262" t="s">
        <v>191</v>
      </c>
      <c r="D262" t="s">
        <v>1383</v>
      </c>
      <c r="E262" t="s">
        <v>1646</v>
      </c>
      <c r="F262" t="s">
        <v>1872</v>
      </c>
      <c r="G262" t="s">
        <v>2095</v>
      </c>
      <c r="H262" t="s">
        <v>605</v>
      </c>
      <c r="I262" t="s">
        <v>2375</v>
      </c>
      <c r="J262" t="s">
        <v>2374</v>
      </c>
      <c r="K262" t="s">
        <v>2374</v>
      </c>
    </row>
    <row r="263" spans="1:11" x14ac:dyDescent="0.3">
      <c r="A263" t="s">
        <v>949</v>
      </c>
      <c r="B263" t="s">
        <v>1296</v>
      </c>
      <c r="C263" t="s">
        <v>240</v>
      </c>
      <c r="D263" t="s">
        <v>1384</v>
      </c>
      <c r="E263" t="s">
        <v>1647</v>
      </c>
      <c r="F263" t="s">
        <v>589</v>
      </c>
      <c r="G263" t="s">
        <v>2096</v>
      </c>
      <c r="H263" t="s">
        <v>2320</v>
      </c>
      <c r="I263" t="s">
        <v>2375</v>
      </c>
      <c r="J263" t="s">
        <v>2374</v>
      </c>
      <c r="K263" t="s">
        <v>2374</v>
      </c>
    </row>
    <row r="264" spans="1:11" x14ac:dyDescent="0.3">
      <c r="A264" t="s">
        <v>950</v>
      </c>
      <c r="B264" t="s">
        <v>1297</v>
      </c>
      <c r="C264" t="s">
        <v>227</v>
      </c>
      <c r="D264" t="s">
        <v>1385</v>
      </c>
      <c r="E264" t="s">
        <v>1648</v>
      </c>
      <c r="F264" t="s">
        <v>1740</v>
      </c>
      <c r="G264" t="s">
        <v>2097</v>
      </c>
      <c r="H264" t="s">
        <v>2321</v>
      </c>
      <c r="I264" t="s">
        <v>2374</v>
      </c>
      <c r="J264" t="s">
        <v>2374</v>
      </c>
      <c r="K264" t="s">
        <v>2374</v>
      </c>
    </row>
    <row r="265" spans="1:11" x14ac:dyDescent="0.3">
      <c r="A265" t="s">
        <v>951</v>
      </c>
      <c r="B265" t="s">
        <v>1298</v>
      </c>
      <c r="C265" t="s">
        <v>239</v>
      </c>
      <c r="D265" t="s">
        <v>1383</v>
      </c>
      <c r="E265" t="s">
        <v>1649</v>
      </c>
      <c r="F265" t="s">
        <v>1873</v>
      </c>
      <c r="G265" t="s">
        <v>2056</v>
      </c>
      <c r="H265" t="s">
        <v>2010</v>
      </c>
      <c r="I265" t="s">
        <v>2375</v>
      </c>
      <c r="J265" t="s">
        <v>2374</v>
      </c>
      <c r="K265" t="s">
        <v>2374</v>
      </c>
    </row>
    <row r="266" spans="1:11" x14ac:dyDescent="0.3">
      <c r="A266" t="s">
        <v>952</v>
      </c>
      <c r="B266" t="s">
        <v>1299</v>
      </c>
      <c r="C266" t="s">
        <v>215</v>
      </c>
      <c r="D266" t="s">
        <v>1385</v>
      </c>
      <c r="E266" t="s">
        <v>1650</v>
      </c>
      <c r="F266" t="s">
        <v>1740</v>
      </c>
      <c r="G266" t="s">
        <v>2098</v>
      </c>
      <c r="H266" t="s">
        <v>2322</v>
      </c>
      <c r="I266" t="s">
        <v>2374</v>
      </c>
      <c r="J266" t="s">
        <v>2374</v>
      </c>
      <c r="K266" t="s">
        <v>2374</v>
      </c>
    </row>
    <row r="267" spans="1:11" x14ac:dyDescent="0.3">
      <c r="A267" t="s">
        <v>953</v>
      </c>
      <c r="B267" t="s">
        <v>1300</v>
      </c>
      <c r="C267" t="s">
        <v>227</v>
      </c>
      <c r="D267" t="s">
        <v>1385</v>
      </c>
      <c r="E267" t="s">
        <v>1651</v>
      </c>
      <c r="F267" t="s">
        <v>1740</v>
      </c>
      <c r="G267" t="s">
        <v>1783</v>
      </c>
      <c r="H267" t="s">
        <v>2323</v>
      </c>
      <c r="I267" t="s">
        <v>2374</v>
      </c>
      <c r="J267" t="s">
        <v>2374</v>
      </c>
      <c r="K267" t="s">
        <v>2374</v>
      </c>
    </row>
    <row r="268" spans="1:11" x14ac:dyDescent="0.3">
      <c r="A268" t="s">
        <v>954</v>
      </c>
      <c r="B268" t="s">
        <v>1301</v>
      </c>
      <c r="C268" t="s">
        <v>229</v>
      </c>
      <c r="D268" t="s">
        <v>1384</v>
      </c>
      <c r="E268" t="s">
        <v>1652</v>
      </c>
      <c r="F268" t="s">
        <v>1874</v>
      </c>
      <c r="G268" t="s">
        <v>2099</v>
      </c>
      <c r="H268" t="s">
        <v>2023</v>
      </c>
      <c r="I268" t="s">
        <v>2374</v>
      </c>
      <c r="J268" t="s">
        <v>2374</v>
      </c>
      <c r="K268" t="s">
        <v>2375</v>
      </c>
    </row>
    <row r="269" spans="1:11" x14ac:dyDescent="0.3">
      <c r="A269" t="s">
        <v>955</v>
      </c>
      <c r="B269" t="s">
        <v>1302</v>
      </c>
      <c r="C269" t="s">
        <v>238</v>
      </c>
      <c r="D269" t="s">
        <v>1384</v>
      </c>
      <c r="E269" t="s">
        <v>1653</v>
      </c>
      <c r="F269" t="s">
        <v>1875</v>
      </c>
      <c r="G269" t="s">
        <v>2100</v>
      </c>
      <c r="H269" t="s">
        <v>2324</v>
      </c>
      <c r="I269" t="s">
        <v>2374</v>
      </c>
      <c r="J269" t="s">
        <v>2374</v>
      </c>
      <c r="K269" t="s">
        <v>2375</v>
      </c>
    </row>
    <row r="270" spans="1:11" x14ac:dyDescent="0.3">
      <c r="A270" t="s">
        <v>956</v>
      </c>
      <c r="B270" t="s">
        <v>1303</v>
      </c>
      <c r="C270" t="s">
        <v>191</v>
      </c>
      <c r="D270" t="s">
        <v>1385</v>
      </c>
      <c r="E270" t="s">
        <v>1654</v>
      </c>
      <c r="F270" t="s">
        <v>1740</v>
      </c>
      <c r="G270" t="s">
        <v>295</v>
      </c>
      <c r="H270" t="s">
        <v>2325</v>
      </c>
      <c r="I270" t="s">
        <v>2374</v>
      </c>
      <c r="J270" t="s">
        <v>2374</v>
      </c>
      <c r="K270" t="s">
        <v>2374</v>
      </c>
    </row>
    <row r="271" spans="1:11" x14ac:dyDescent="0.3">
      <c r="A271" t="s">
        <v>957</v>
      </c>
      <c r="B271" t="s">
        <v>1304</v>
      </c>
      <c r="C271" t="s">
        <v>235</v>
      </c>
      <c r="D271" t="s">
        <v>1384</v>
      </c>
      <c r="E271" t="s">
        <v>1655</v>
      </c>
      <c r="F271" t="s">
        <v>659</v>
      </c>
      <c r="G271" t="s">
        <v>2101</v>
      </c>
      <c r="H271" t="s">
        <v>2284</v>
      </c>
      <c r="I271" t="s">
        <v>2374</v>
      </c>
      <c r="J271" t="s">
        <v>2374</v>
      </c>
      <c r="K271" t="s">
        <v>2375</v>
      </c>
    </row>
    <row r="272" spans="1:11" x14ac:dyDescent="0.3">
      <c r="A272" t="s">
        <v>958</v>
      </c>
      <c r="B272" t="s">
        <v>1305</v>
      </c>
      <c r="C272" t="s">
        <v>193</v>
      </c>
      <c r="D272" t="s">
        <v>1383</v>
      </c>
      <c r="E272" t="s">
        <v>1656</v>
      </c>
      <c r="F272" t="s">
        <v>1876</v>
      </c>
      <c r="G272" t="s">
        <v>261</v>
      </c>
      <c r="H272" t="s">
        <v>2326</v>
      </c>
      <c r="I272" t="s">
        <v>2374</v>
      </c>
      <c r="J272" t="s">
        <v>2374</v>
      </c>
      <c r="K272" t="s">
        <v>2374</v>
      </c>
    </row>
    <row r="273" spans="1:11" x14ac:dyDescent="0.3">
      <c r="A273" t="s">
        <v>959</v>
      </c>
      <c r="B273" t="s">
        <v>1306</v>
      </c>
      <c r="C273" t="s">
        <v>207</v>
      </c>
      <c r="D273" t="s">
        <v>1383</v>
      </c>
      <c r="E273" t="s">
        <v>1657</v>
      </c>
      <c r="F273" t="s">
        <v>1877</v>
      </c>
      <c r="G273" t="s">
        <v>2102</v>
      </c>
      <c r="H273" t="s">
        <v>1881</v>
      </c>
      <c r="I273" t="s">
        <v>2374</v>
      </c>
      <c r="J273" t="s">
        <v>2374</v>
      </c>
      <c r="K273" t="s">
        <v>2375</v>
      </c>
    </row>
    <row r="274" spans="1:11" x14ac:dyDescent="0.3">
      <c r="A274" t="s">
        <v>960</v>
      </c>
      <c r="B274" t="s">
        <v>1307</v>
      </c>
      <c r="C274" t="s">
        <v>243</v>
      </c>
      <c r="D274" t="s">
        <v>1383</v>
      </c>
      <c r="E274" t="s">
        <v>1658</v>
      </c>
      <c r="F274" t="s">
        <v>1878</v>
      </c>
      <c r="G274" t="s">
        <v>2103</v>
      </c>
      <c r="H274" t="s">
        <v>2327</v>
      </c>
      <c r="I274" t="s">
        <v>2374</v>
      </c>
      <c r="J274" t="s">
        <v>2374</v>
      </c>
      <c r="K274" t="s">
        <v>2375</v>
      </c>
    </row>
    <row r="275" spans="1:11" x14ac:dyDescent="0.3">
      <c r="A275" t="s">
        <v>961</v>
      </c>
      <c r="B275" t="s">
        <v>1308</v>
      </c>
      <c r="C275" t="s">
        <v>218</v>
      </c>
      <c r="D275" t="s">
        <v>1384</v>
      </c>
      <c r="E275" t="s">
        <v>1659</v>
      </c>
      <c r="F275" t="s">
        <v>1879</v>
      </c>
      <c r="G275" t="s">
        <v>2104</v>
      </c>
      <c r="H275" t="s">
        <v>528</v>
      </c>
      <c r="I275" t="s">
        <v>2374</v>
      </c>
      <c r="J275" t="s">
        <v>2374</v>
      </c>
      <c r="K275" t="s">
        <v>2375</v>
      </c>
    </row>
    <row r="276" spans="1:11" x14ac:dyDescent="0.3">
      <c r="A276" t="s">
        <v>962</v>
      </c>
      <c r="B276" t="s">
        <v>1309</v>
      </c>
      <c r="C276" t="s">
        <v>221</v>
      </c>
      <c r="D276" t="s">
        <v>1383</v>
      </c>
      <c r="E276" t="s">
        <v>1660</v>
      </c>
      <c r="F276" t="s">
        <v>1880</v>
      </c>
      <c r="G276" t="s">
        <v>2105</v>
      </c>
      <c r="H276" t="s">
        <v>374</v>
      </c>
      <c r="I276" t="s">
        <v>2374</v>
      </c>
      <c r="J276" t="s">
        <v>2374</v>
      </c>
      <c r="K276" t="s">
        <v>2374</v>
      </c>
    </row>
    <row r="277" spans="1:11" x14ac:dyDescent="0.3">
      <c r="A277" t="s">
        <v>963</v>
      </c>
      <c r="B277" t="s">
        <v>1310</v>
      </c>
      <c r="C277" t="s">
        <v>238</v>
      </c>
      <c r="D277" t="s">
        <v>1385</v>
      </c>
      <c r="E277" t="s">
        <v>1661</v>
      </c>
      <c r="F277" t="s">
        <v>1740</v>
      </c>
      <c r="G277" t="s">
        <v>2106</v>
      </c>
      <c r="H277" t="s">
        <v>2328</v>
      </c>
      <c r="I277" t="s">
        <v>2374</v>
      </c>
      <c r="J277" t="s">
        <v>2374</v>
      </c>
      <c r="K277" t="s">
        <v>2375</v>
      </c>
    </row>
    <row r="278" spans="1:11" x14ac:dyDescent="0.3">
      <c r="A278" t="s">
        <v>964</v>
      </c>
      <c r="B278" t="s">
        <v>1311</v>
      </c>
      <c r="C278" t="s">
        <v>203</v>
      </c>
      <c r="D278" t="s">
        <v>1384</v>
      </c>
      <c r="E278" t="s">
        <v>1662</v>
      </c>
      <c r="F278" t="s">
        <v>1881</v>
      </c>
      <c r="G278" t="s">
        <v>2107</v>
      </c>
      <c r="H278" t="s">
        <v>337</v>
      </c>
      <c r="I278" t="s">
        <v>2374</v>
      </c>
      <c r="J278" t="s">
        <v>2374</v>
      </c>
      <c r="K278" t="s">
        <v>2374</v>
      </c>
    </row>
    <row r="279" spans="1:11" x14ac:dyDescent="0.3">
      <c r="A279" t="s">
        <v>965</v>
      </c>
      <c r="B279" t="s">
        <v>1312</v>
      </c>
      <c r="C279" t="s">
        <v>225</v>
      </c>
      <c r="D279" t="s">
        <v>1384</v>
      </c>
      <c r="E279" t="s">
        <v>1663</v>
      </c>
      <c r="F279" t="s">
        <v>529</v>
      </c>
      <c r="G279" t="s">
        <v>2108</v>
      </c>
      <c r="H279" t="s">
        <v>572</v>
      </c>
      <c r="I279" t="s">
        <v>2374</v>
      </c>
      <c r="J279" t="s">
        <v>2374</v>
      </c>
      <c r="K279" t="s">
        <v>2375</v>
      </c>
    </row>
    <row r="280" spans="1:11" x14ac:dyDescent="0.3">
      <c r="A280" t="s">
        <v>966</v>
      </c>
      <c r="B280" t="s">
        <v>1313</v>
      </c>
      <c r="C280" t="s">
        <v>198</v>
      </c>
      <c r="D280" t="s">
        <v>1385</v>
      </c>
      <c r="E280" t="s">
        <v>1664</v>
      </c>
      <c r="F280" t="s">
        <v>1740</v>
      </c>
      <c r="G280" t="s">
        <v>2109</v>
      </c>
      <c r="H280" t="s">
        <v>2033</v>
      </c>
      <c r="I280" t="s">
        <v>2374</v>
      </c>
      <c r="J280" t="s">
        <v>2374</v>
      </c>
      <c r="K280" t="s">
        <v>2374</v>
      </c>
    </row>
    <row r="281" spans="1:11" x14ac:dyDescent="0.3">
      <c r="A281" t="s">
        <v>967</v>
      </c>
      <c r="B281" t="s">
        <v>1314</v>
      </c>
      <c r="C281" t="s">
        <v>211</v>
      </c>
      <c r="D281" t="s">
        <v>1383</v>
      </c>
      <c r="E281" t="s">
        <v>1665</v>
      </c>
      <c r="F281" t="s">
        <v>1882</v>
      </c>
      <c r="G281" t="s">
        <v>2110</v>
      </c>
      <c r="H281" t="s">
        <v>2329</v>
      </c>
      <c r="I281" t="s">
        <v>2374</v>
      </c>
      <c r="J281" t="s">
        <v>2374</v>
      </c>
      <c r="K281" t="s">
        <v>2375</v>
      </c>
    </row>
    <row r="282" spans="1:11" x14ac:dyDescent="0.3">
      <c r="A282" t="s">
        <v>968</v>
      </c>
      <c r="B282" t="s">
        <v>1315</v>
      </c>
      <c r="C282" t="s">
        <v>193</v>
      </c>
      <c r="D282" t="s">
        <v>1383</v>
      </c>
      <c r="E282" t="s">
        <v>1666</v>
      </c>
      <c r="F282" t="s">
        <v>1883</v>
      </c>
      <c r="G282" t="s">
        <v>2096</v>
      </c>
      <c r="H282" t="s">
        <v>2330</v>
      </c>
      <c r="I282" t="s">
        <v>2374</v>
      </c>
      <c r="J282" t="s">
        <v>2374</v>
      </c>
      <c r="K282" t="s">
        <v>2374</v>
      </c>
    </row>
    <row r="283" spans="1:11" x14ac:dyDescent="0.3">
      <c r="A283" t="s">
        <v>969</v>
      </c>
      <c r="B283" t="s">
        <v>1316</v>
      </c>
      <c r="C283" t="s">
        <v>244</v>
      </c>
      <c r="D283" t="s">
        <v>1385</v>
      </c>
      <c r="E283" t="s">
        <v>1667</v>
      </c>
      <c r="F283" t="s">
        <v>1740</v>
      </c>
      <c r="G283" t="s">
        <v>2111</v>
      </c>
      <c r="H283" t="s">
        <v>2331</v>
      </c>
      <c r="I283" t="s">
        <v>2374</v>
      </c>
      <c r="J283" t="s">
        <v>2374</v>
      </c>
      <c r="K283" t="s">
        <v>2374</v>
      </c>
    </row>
    <row r="284" spans="1:11" x14ac:dyDescent="0.3">
      <c r="A284" t="s">
        <v>970</v>
      </c>
      <c r="B284" t="s">
        <v>1317</v>
      </c>
      <c r="C284" t="s">
        <v>202</v>
      </c>
      <c r="D284" t="s">
        <v>1385</v>
      </c>
      <c r="E284" t="s">
        <v>1668</v>
      </c>
      <c r="F284" t="s">
        <v>1740</v>
      </c>
      <c r="G284" t="s">
        <v>2112</v>
      </c>
      <c r="H284" t="s">
        <v>2332</v>
      </c>
      <c r="I284" t="s">
        <v>2374</v>
      </c>
      <c r="J284" t="s">
        <v>2374</v>
      </c>
      <c r="K284" t="s">
        <v>2374</v>
      </c>
    </row>
    <row r="285" spans="1:11" x14ac:dyDescent="0.3">
      <c r="A285" t="s">
        <v>971</v>
      </c>
      <c r="B285" t="s">
        <v>1318</v>
      </c>
      <c r="C285" t="s">
        <v>231</v>
      </c>
      <c r="D285" t="s">
        <v>1385</v>
      </c>
      <c r="E285" t="s">
        <v>1669</v>
      </c>
      <c r="F285" t="s">
        <v>1740</v>
      </c>
      <c r="G285" t="s">
        <v>2023</v>
      </c>
      <c r="H285" t="s">
        <v>2333</v>
      </c>
      <c r="I285" t="s">
        <v>2374</v>
      </c>
      <c r="J285" t="s">
        <v>2374</v>
      </c>
      <c r="K285" t="s">
        <v>2374</v>
      </c>
    </row>
    <row r="286" spans="1:11" x14ac:dyDescent="0.3">
      <c r="A286" t="s">
        <v>972</v>
      </c>
      <c r="B286" t="s">
        <v>1319</v>
      </c>
      <c r="C286" t="s">
        <v>208</v>
      </c>
      <c r="D286" t="s">
        <v>1383</v>
      </c>
      <c r="E286" t="s">
        <v>1670</v>
      </c>
      <c r="F286" t="s">
        <v>1884</v>
      </c>
      <c r="G286" t="s">
        <v>2113</v>
      </c>
      <c r="H286" t="s">
        <v>2334</v>
      </c>
      <c r="I286" t="s">
        <v>2374</v>
      </c>
      <c r="J286" t="s">
        <v>2374</v>
      </c>
      <c r="K286" t="s">
        <v>2374</v>
      </c>
    </row>
    <row r="287" spans="1:11" x14ac:dyDescent="0.3">
      <c r="A287" t="s">
        <v>973</v>
      </c>
      <c r="B287" t="s">
        <v>1320</v>
      </c>
      <c r="C287" t="s">
        <v>203</v>
      </c>
      <c r="D287" t="s">
        <v>1384</v>
      </c>
      <c r="E287" t="s">
        <v>1671</v>
      </c>
      <c r="F287" t="s">
        <v>606</v>
      </c>
      <c r="G287" t="s">
        <v>494</v>
      </c>
      <c r="H287" t="s">
        <v>2302</v>
      </c>
      <c r="I287" t="s">
        <v>2374</v>
      </c>
      <c r="J287" t="s">
        <v>2374</v>
      </c>
      <c r="K287" t="s">
        <v>2374</v>
      </c>
    </row>
    <row r="288" spans="1:11" x14ac:dyDescent="0.3">
      <c r="A288" t="s">
        <v>974</v>
      </c>
      <c r="B288" t="s">
        <v>1321</v>
      </c>
      <c r="C288" t="s">
        <v>243</v>
      </c>
      <c r="D288" t="s">
        <v>1385</v>
      </c>
      <c r="E288" t="s">
        <v>1672</v>
      </c>
      <c r="F288" t="s">
        <v>1740</v>
      </c>
      <c r="G288" t="s">
        <v>1904</v>
      </c>
      <c r="H288" t="s">
        <v>554</v>
      </c>
      <c r="I288" t="s">
        <v>2374</v>
      </c>
      <c r="J288" t="s">
        <v>2374</v>
      </c>
      <c r="K288" t="s">
        <v>2374</v>
      </c>
    </row>
    <row r="289" spans="1:11" x14ac:dyDescent="0.3">
      <c r="A289" t="s">
        <v>975</v>
      </c>
      <c r="B289" t="s">
        <v>1322</v>
      </c>
      <c r="C289" t="s">
        <v>236</v>
      </c>
      <c r="D289" t="s">
        <v>1383</v>
      </c>
      <c r="E289" t="s">
        <v>1673</v>
      </c>
      <c r="F289" t="s">
        <v>1885</v>
      </c>
      <c r="G289" t="s">
        <v>2114</v>
      </c>
      <c r="H289" t="s">
        <v>2335</v>
      </c>
      <c r="I289" t="s">
        <v>2374</v>
      </c>
      <c r="J289" t="s">
        <v>2374</v>
      </c>
      <c r="K289" t="s">
        <v>2374</v>
      </c>
    </row>
    <row r="290" spans="1:11" x14ac:dyDescent="0.3">
      <c r="A290" t="s">
        <v>976</v>
      </c>
      <c r="B290" t="s">
        <v>1323</v>
      </c>
      <c r="C290" t="s">
        <v>208</v>
      </c>
      <c r="D290" t="s">
        <v>1384</v>
      </c>
      <c r="E290" t="s">
        <v>1674</v>
      </c>
      <c r="F290" t="s">
        <v>531</v>
      </c>
      <c r="G290" t="s">
        <v>2115</v>
      </c>
      <c r="H290" t="s">
        <v>280</v>
      </c>
      <c r="I290" t="s">
        <v>2374</v>
      </c>
      <c r="J290" t="s">
        <v>2374</v>
      </c>
      <c r="K290" t="s">
        <v>2374</v>
      </c>
    </row>
    <row r="291" spans="1:11" x14ac:dyDescent="0.3">
      <c r="A291" t="s">
        <v>977</v>
      </c>
      <c r="B291" t="s">
        <v>1324</v>
      </c>
      <c r="C291" t="s">
        <v>247</v>
      </c>
      <c r="D291" t="s">
        <v>1384</v>
      </c>
      <c r="E291" t="s">
        <v>1675</v>
      </c>
      <c r="F291" t="s">
        <v>1886</v>
      </c>
      <c r="G291" t="s">
        <v>2116</v>
      </c>
      <c r="H291" t="s">
        <v>2023</v>
      </c>
      <c r="I291" t="s">
        <v>2374</v>
      </c>
      <c r="J291" t="s">
        <v>2375</v>
      </c>
      <c r="K291" t="s">
        <v>2374</v>
      </c>
    </row>
    <row r="292" spans="1:11" x14ac:dyDescent="0.3">
      <c r="A292" t="s">
        <v>978</v>
      </c>
      <c r="B292" t="s">
        <v>1325</v>
      </c>
      <c r="C292" t="s">
        <v>212</v>
      </c>
      <c r="D292" t="s">
        <v>1385</v>
      </c>
      <c r="E292" t="s">
        <v>1676</v>
      </c>
      <c r="F292" t="s">
        <v>1740</v>
      </c>
      <c r="G292" t="s">
        <v>2117</v>
      </c>
      <c r="H292" t="s">
        <v>2336</v>
      </c>
      <c r="I292" t="s">
        <v>2374</v>
      </c>
      <c r="J292" t="s">
        <v>2374</v>
      </c>
      <c r="K292" t="s">
        <v>2374</v>
      </c>
    </row>
    <row r="293" spans="1:11" x14ac:dyDescent="0.3">
      <c r="A293" t="s">
        <v>979</v>
      </c>
      <c r="B293" t="s">
        <v>1326</v>
      </c>
      <c r="C293" t="s">
        <v>233</v>
      </c>
      <c r="D293" t="s">
        <v>1385</v>
      </c>
      <c r="E293" t="s">
        <v>1677</v>
      </c>
      <c r="F293" t="s">
        <v>1740</v>
      </c>
      <c r="G293" t="s">
        <v>584</v>
      </c>
      <c r="H293" t="s">
        <v>665</v>
      </c>
      <c r="I293" t="s">
        <v>2374</v>
      </c>
      <c r="J293" t="s">
        <v>2375</v>
      </c>
      <c r="K293" t="s">
        <v>2374</v>
      </c>
    </row>
    <row r="294" spans="1:11" x14ac:dyDescent="0.3">
      <c r="A294" t="s">
        <v>980</v>
      </c>
      <c r="B294" t="s">
        <v>1327</v>
      </c>
      <c r="C294" t="s">
        <v>208</v>
      </c>
      <c r="D294" t="s">
        <v>1385</v>
      </c>
      <c r="E294" t="s">
        <v>1678</v>
      </c>
      <c r="F294" t="s">
        <v>1740</v>
      </c>
      <c r="G294" t="s">
        <v>2118</v>
      </c>
      <c r="H294" t="s">
        <v>307</v>
      </c>
      <c r="I294" t="s">
        <v>2374</v>
      </c>
      <c r="J294" t="s">
        <v>2375</v>
      </c>
      <c r="K294" t="s">
        <v>2374</v>
      </c>
    </row>
    <row r="295" spans="1:11" x14ac:dyDescent="0.3">
      <c r="A295" t="s">
        <v>981</v>
      </c>
      <c r="B295" t="s">
        <v>1328</v>
      </c>
      <c r="C295" t="s">
        <v>214</v>
      </c>
      <c r="D295" t="s">
        <v>1383</v>
      </c>
      <c r="E295" t="s">
        <v>1679</v>
      </c>
      <c r="F295" t="s">
        <v>1887</v>
      </c>
      <c r="G295" t="s">
        <v>2119</v>
      </c>
      <c r="H295" t="s">
        <v>2337</v>
      </c>
      <c r="I295" t="s">
        <v>2374</v>
      </c>
      <c r="J295" t="s">
        <v>2374</v>
      </c>
      <c r="K295" t="s">
        <v>2374</v>
      </c>
    </row>
    <row r="296" spans="1:11" x14ac:dyDescent="0.3">
      <c r="A296" t="s">
        <v>982</v>
      </c>
      <c r="B296" t="s">
        <v>1329</v>
      </c>
      <c r="C296" t="s">
        <v>244</v>
      </c>
      <c r="D296" t="s">
        <v>1385</v>
      </c>
      <c r="E296" t="s">
        <v>1680</v>
      </c>
      <c r="F296" t="s">
        <v>1740</v>
      </c>
      <c r="G296" t="s">
        <v>2120</v>
      </c>
      <c r="H296" t="s">
        <v>565</v>
      </c>
      <c r="I296" t="s">
        <v>2374</v>
      </c>
      <c r="J296" t="s">
        <v>2374</v>
      </c>
      <c r="K296" t="s">
        <v>2374</v>
      </c>
    </row>
    <row r="297" spans="1:11" x14ac:dyDescent="0.3">
      <c r="A297" t="s">
        <v>983</v>
      </c>
      <c r="B297" t="s">
        <v>1330</v>
      </c>
      <c r="C297" t="s">
        <v>230</v>
      </c>
      <c r="D297" t="s">
        <v>1384</v>
      </c>
      <c r="E297" t="s">
        <v>1681</v>
      </c>
      <c r="F297" t="s">
        <v>1888</v>
      </c>
      <c r="G297" t="s">
        <v>2121</v>
      </c>
      <c r="H297" t="s">
        <v>628</v>
      </c>
      <c r="I297" t="s">
        <v>2374</v>
      </c>
      <c r="J297" t="s">
        <v>2375</v>
      </c>
      <c r="K297" t="s">
        <v>2374</v>
      </c>
    </row>
    <row r="298" spans="1:11" x14ac:dyDescent="0.3">
      <c r="A298" t="s">
        <v>984</v>
      </c>
      <c r="B298" t="s">
        <v>1331</v>
      </c>
      <c r="C298" t="s">
        <v>231</v>
      </c>
      <c r="D298" t="s">
        <v>1385</v>
      </c>
      <c r="E298" t="s">
        <v>1682</v>
      </c>
      <c r="F298" t="s">
        <v>1740</v>
      </c>
      <c r="G298" t="s">
        <v>2122</v>
      </c>
      <c r="H298" t="s">
        <v>379</v>
      </c>
      <c r="I298" t="s">
        <v>2374</v>
      </c>
      <c r="J298" t="s">
        <v>2375</v>
      </c>
      <c r="K298" t="s">
        <v>2374</v>
      </c>
    </row>
    <row r="299" spans="1:11" x14ac:dyDescent="0.3">
      <c r="A299" t="s">
        <v>985</v>
      </c>
      <c r="B299" t="s">
        <v>1130</v>
      </c>
      <c r="C299" t="s">
        <v>208</v>
      </c>
      <c r="D299" t="s">
        <v>1383</v>
      </c>
      <c r="E299" t="s">
        <v>1683</v>
      </c>
      <c r="F299" t="s">
        <v>1889</v>
      </c>
      <c r="G299" t="s">
        <v>2123</v>
      </c>
      <c r="H299" t="s">
        <v>2338</v>
      </c>
      <c r="I299" t="s">
        <v>2375</v>
      </c>
      <c r="J299" t="s">
        <v>2374</v>
      </c>
      <c r="K299" t="s">
        <v>2374</v>
      </c>
    </row>
    <row r="300" spans="1:11" x14ac:dyDescent="0.3">
      <c r="A300" t="s">
        <v>986</v>
      </c>
      <c r="B300" t="s">
        <v>1332</v>
      </c>
      <c r="C300" t="s">
        <v>213</v>
      </c>
      <c r="D300" t="s">
        <v>1384</v>
      </c>
      <c r="E300" t="s">
        <v>1684</v>
      </c>
      <c r="F300" t="s">
        <v>1890</v>
      </c>
      <c r="G300" t="s">
        <v>2124</v>
      </c>
      <c r="H300" t="s">
        <v>2339</v>
      </c>
      <c r="I300" t="s">
        <v>2375</v>
      </c>
      <c r="J300" t="s">
        <v>2375</v>
      </c>
      <c r="K300" t="s">
        <v>2374</v>
      </c>
    </row>
    <row r="301" spans="1:11" x14ac:dyDescent="0.3">
      <c r="A301" t="s">
        <v>987</v>
      </c>
      <c r="B301" t="s">
        <v>1333</v>
      </c>
      <c r="C301" t="s">
        <v>219</v>
      </c>
      <c r="D301" t="s">
        <v>1384</v>
      </c>
      <c r="E301" t="s">
        <v>1685</v>
      </c>
      <c r="F301" t="s">
        <v>1891</v>
      </c>
      <c r="G301" t="s">
        <v>2125</v>
      </c>
      <c r="H301" t="s">
        <v>2340</v>
      </c>
      <c r="I301" t="s">
        <v>2374</v>
      </c>
      <c r="J301" t="s">
        <v>2375</v>
      </c>
      <c r="K301" t="s">
        <v>2374</v>
      </c>
    </row>
    <row r="302" spans="1:11" x14ac:dyDescent="0.3">
      <c r="A302" t="s">
        <v>988</v>
      </c>
      <c r="B302" t="s">
        <v>1334</v>
      </c>
      <c r="C302" t="s">
        <v>195</v>
      </c>
      <c r="D302" t="s">
        <v>1384</v>
      </c>
      <c r="E302" t="s">
        <v>1686</v>
      </c>
      <c r="F302" t="s">
        <v>1892</v>
      </c>
      <c r="G302" t="s">
        <v>2126</v>
      </c>
      <c r="H302" t="s">
        <v>2341</v>
      </c>
      <c r="I302" t="s">
        <v>2374</v>
      </c>
      <c r="J302" t="s">
        <v>2374</v>
      </c>
      <c r="K302" t="s">
        <v>2374</v>
      </c>
    </row>
    <row r="303" spans="1:11" x14ac:dyDescent="0.3">
      <c r="A303" t="s">
        <v>989</v>
      </c>
      <c r="B303" t="s">
        <v>1335</v>
      </c>
      <c r="C303" t="s">
        <v>233</v>
      </c>
      <c r="D303" t="s">
        <v>1385</v>
      </c>
      <c r="E303" t="s">
        <v>1687</v>
      </c>
      <c r="F303" t="s">
        <v>1740</v>
      </c>
      <c r="G303" t="s">
        <v>2127</v>
      </c>
      <c r="H303" t="s">
        <v>2342</v>
      </c>
      <c r="I303" t="s">
        <v>2375</v>
      </c>
      <c r="J303" t="s">
        <v>2375</v>
      </c>
      <c r="K303" t="s">
        <v>2374</v>
      </c>
    </row>
    <row r="304" spans="1:11" x14ac:dyDescent="0.3">
      <c r="A304" t="s">
        <v>990</v>
      </c>
      <c r="B304" t="s">
        <v>1132</v>
      </c>
      <c r="C304" t="s">
        <v>237</v>
      </c>
      <c r="D304" t="s">
        <v>1384</v>
      </c>
      <c r="E304" t="s">
        <v>1688</v>
      </c>
      <c r="F304" t="s">
        <v>1893</v>
      </c>
      <c r="G304" t="s">
        <v>2128</v>
      </c>
      <c r="H304" t="s">
        <v>2343</v>
      </c>
      <c r="I304" t="s">
        <v>2374</v>
      </c>
      <c r="J304" t="s">
        <v>2375</v>
      </c>
      <c r="K304" t="s">
        <v>2374</v>
      </c>
    </row>
    <row r="305" spans="1:11" x14ac:dyDescent="0.3">
      <c r="A305" t="s">
        <v>991</v>
      </c>
      <c r="B305" t="s">
        <v>1336</v>
      </c>
      <c r="C305" t="s">
        <v>241</v>
      </c>
      <c r="D305" t="s">
        <v>1385</v>
      </c>
      <c r="E305" t="s">
        <v>1689</v>
      </c>
      <c r="F305" t="s">
        <v>1740</v>
      </c>
      <c r="G305" t="s">
        <v>2129</v>
      </c>
      <c r="H305" t="s">
        <v>2210</v>
      </c>
      <c r="I305" t="s">
        <v>2375</v>
      </c>
      <c r="J305" t="s">
        <v>2374</v>
      </c>
      <c r="K305" t="s">
        <v>2374</v>
      </c>
    </row>
    <row r="306" spans="1:11" x14ac:dyDescent="0.3">
      <c r="A306" t="s">
        <v>992</v>
      </c>
      <c r="B306" t="s">
        <v>1337</v>
      </c>
      <c r="C306" t="s">
        <v>195</v>
      </c>
      <c r="D306" t="s">
        <v>1385</v>
      </c>
      <c r="E306" t="s">
        <v>1690</v>
      </c>
      <c r="F306" t="s">
        <v>1740</v>
      </c>
      <c r="G306" t="s">
        <v>378</v>
      </c>
      <c r="H306" t="s">
        <v>2344</v>
      </c>
      <c r="I306" t="s">
        <v>2375</v>
      </c>
      <c r="J306" t="s">
        <v>2374</v>
      </c>
      <c r="K306" t="s">
        <v>2374</v>
      </c>
    </row>
    <row r="307" spans="1:11" x14ac:dyDescent="0.3">
      <c r="A307" t="s">
        <v>993</v>
      </c>
      <c r="B307" t="s">
        <v>1338</v>
      </c>
      <c r="C307" t="s">
        <v>246</v>
      </c>
      <c r="D307" t="s">
        <v>1385</v>
      </c>
      <c r="E307" t="s">
        <v>1691</v>
      </c>
      <c r="F307" t="s">
        <v>1740</v>
      </c>
      <c r="G307" t="s">
        <v>1875</v>
      </c>
      <c r="H307" t="s">
        <v>2345</v>
      </c>
      <c r="I307" t="s">
        <v>2374</v>
      </c>
      <c r="J307" t="s">
        <v>2374</v>
      </c>
      <c r="K307" t="s">
        <v>2374</v>
      </c>
    </row>
    <row r="308" spans="1:11" x14ac:dyDescent="0.3">
      <c r="A308" t="s">
        <v>994</v>
      </c>
      <c r="B308" t="s">
        <v>1339</v>
      </c>
      <c r="C308" t="s">
        <v>231</v>
      </c>
      <c r="D308" t="s">
        <v>1385</v>
      </c>
      <c r="E308" t="s">
        <v>1692</v>
      </c>
      <c r="F308" t="s">
        <v>1740</v>
      </c>
      <c r="G308" t="s">
        <v>511</v>
      </c>
      <c r="H308" t="s">
        <v>2083</v>
      </c>
      <c r="I308" t="s">
        <v>2374</v>
      </c>
      <c r="J308" t="s">
        <v>2374</v>
      </c>
      <c r="K308" t="s">
        <v>2374</v>
      </c>
    </row>
    <row r="309" spans="1:11" x14ac:dyDescent="0.3">
      <c r="A309" t="s">
        <v>995</v>
      </c>
      <c r="B309" t="s">
        <v>1340</v>
      </c>
      <c r="C309" t="s">
        <v>199</v>
      </c>
      <c r="D309" t="s">
        <v>1383</v>
      </c>
      <c r="E309" t="s">
        <v>1693</v>
      </c>
      <c r="F309" t="s">
        <v>1894</v>
      </c>
      <c r="G309" t="s">
        <v>2130</v>
      </c>
      <c r="H309" t="s">
        <v>2346</v>
      </c>
      <c r="I309" t="s">
        <v>2374</v>
      </c>
      <c r="J309" t="s">
        <v>2374</v>
      </c>
      <c r="K309" t="s">
        <v>2374</v>
      </c>
    </row>
    <row r="310" spans="1:11" x14ac:dyDescent="0.3">
      <c r="A310" t="s">
        <v>996</v>
      </c>
      <c r="B310" t="s">
        <v>1341</v>
      </c>
      <c r="C310" t="s">
        <v>202</v>
      </c>
      <c r="D310" t="s">
        <v>1383</v>
      </c>
      <c r="E310" t="s">
        <v>1694</v>
      </c>
      <c r="F310" t="s">
        <v>1895</v>
      </c>
      <c r="G310" t="s">
        <v>2131</v>
      </c>
      <c r="H310" t="s">
        <v>2347</v>
      </c>
      <c r="I310" t="s">
        <v>2374</v>
      </c>
      <c r="J310" t="s">
        <v>2375</v>
      </c>
      <c r="K310" t="s">
        <v>2374</v>
      </c>
    </row>
    <row r="311" spans="1:11" x14ac:dyDescent="0.3">
      <c r="A311" t="s">
        <v>997</v>
      </c>
      <c r="B311" t="s">
        <v>1342</v>
      </c>
      <c r="C311" t="s">
        <v>241</v>
      </c>
      <c r="D311" t="s">
        <v>1384</v>
      </c>
      <c r="E311" t="s">
        <v>1695</v>
      </c>
      <c r="F311" t="s">
        <v>1896</v>
      </c>
      <c r="G311" t="s">
        <v>2132</v>
      </c>
      <c r="H311" t="s">
        <v>2348</v>
      </c>
      <c r="I311" t="s">
        <v>2374</v>
      </c>
      <c r="J311" t="s">
        <v>2375</v>
      </c>
      <c r="K311" t="s">
        <v>2374</v>
      </c>
    </row>
    <row r="312" spans="1:11" x14ac:dyDescent="0.3">
      <c r="A312" t="s">
        <v>998</v>
      </c>
      <c r="B312" t="s">
        <v>1343</v>
      </c>
      <c r="C312" t="s">
        <v>246</v>
      </c>
      <c r="D312" t="s">
        <v>1383</v>
      </c>
      <c r="E312" t="s">
        <v>1696</v>
      </c>
      <c r="F312" t="s">
        <v>1897</v>
      </c>
      <c r="G312" t="s">
        <v>2133</v>
      </c>
      <c r="H312" t="s">
        <v>2349</v>
      </c>
      <c r="I312" t="s">
        <v>2374</v>
      </c>
      <c r="J312" t="s">
        <v>2375</v>
      </c>
      <c r="K312" t="s">
        <v>2374</v>
      </c>
    </row>
    <row r="313" spans="1:11" x14ac:dyDescent="0.3">
      <c r="A313" t="s">
        <v>999</v>
      </c>
      <c r="B313" t="s">
        <v>1344</v>
      </c>
      <c r="C313" t="s">
        <v>217</v>
      </c>
      <c r="D313" t="s">
        <v>1383</v>
      </c>
      <c r="E313" t="s">
        <v>1697</v>
      </c>
      <c r="F313" t="s">
        <v>1898</v>
      </c>
      <c r="G313" t="s">
        <v>2134</v>
      </c>
      <c r="H313" t="s">
        <v>2350</v>
      </c>
      <c r="I313" t="s">
        <v>2375</v>
      </c>
      <c r="J313" t="s">
        <v>2375</v>
      </c>
      <c r="K313" t="s">
        <v>2374</v>
      </c>
    </row>
    <row r="314" spans="1:11" x14ac:dyDescent="0.3">
      <c r="A314" t="s">
        <v>1000</v>
      </c>
      <c r="B314" t="s">
        <v>1345</v>
      </c>
      <c r="C314" t="s">
        <v>242</v>
      </c>
      <c r="D314" t="s">
        <v>1384</v>
      </c>
      <c r="E314" t="s">
        <v>1698</v>
      </c>
      <c r="F314" t="s">
        <v>1899</v>
      </c>
      <c r="G314" t="s">
        <v>542</v>
      </c>
      <c r="H314" t="s">
        <v>2351</v>
      </c>
      <c r="I314" t="s">
        <v>2374</v>
      </c>
      <c r="J314" t="s">
        <v>2375</v>
      </c>
      <c r="K314" t="s">
        <v>2374</v>
      </c>
    </row>
    <row r="315" spans="1:11" x14ac:dyDescent="0.3">
      <c r="A315" t="s">
        <v>1001</v>
      </c>
      <c r="B315" t="s">
        <v>1346</v>
      </c>
      <c r="C315" t="s">
        <v>233</v>
      </c>
      <c r="D315" t="s">
        <v>1383</v>
      </c>
      <c r="E315" t="s">
        <v>1699</v>
      </c>
      <c r="F315" t="s">
        <v>664</v>
      </c>
      <c r="G315" t="s">
        <v>2135</v>
      </c>
      <c r="H315" t="s">
        <v>594</v>
      </c>
      <c r="I315" t="s">
        <v>2374</v>
      </c>
      <c r="J315" t="s">
        <v>2374</v>
      </c>
      <c r="K315" t="s">
        <v>2374</v>
      </c>
    </row>
    <row r="316" spans="1:11" x14ac:dyDescent="0.3">
      <c r="A316" t="s">
        <v>1002</v>
      </c>
      <c r="B316" t="s">
        <v>1347</v>
      </c>
      <c r="C316" t="s">
        <v>200</v>
      </c>
      <c r="D316" t="s">
        <v>1383</v>
      </c>
      <c r="E316" t="s">
        <v>1700</v>
      </c>
      <c r="F316" t="s">
        <v>566</v>
      </c>
      <c r="G316" t="s">
        <v>576</v>
      </c>
      <c r="H316" t="s">
        <v>2352</v>
      </c>
      <c r="I316" t="s">
        <v>2374</v>
      </c>
      <c r="J316" t="s">
        <v>2374</v>
      </c>
      <c r="K316" t="s">
        <v>2374</v>
      </c>
    </row>
    <row r="317" spans="1:11" x14ac:dyDescent="0.3">
      <c r="A317" t="s">
        <v>1003</v>
      </c>
      <c r="B317" t="s">
        <v>1348</v>
      </c>
      <c r="C317" t="s">
        <v>242</v>
      </c>
      <c r="D317" t="s">
        <v>1385</v>
      </c>
      <c r="E317" t="s">
        <v>1701</v>
      </c>
      <c r="F317" t="s">
        <v>1740</v>
      </c>
      <c r="G317" t="s">
        <v>2136</v>
      </c>
      <c r="H317" t="s">
        <v>353</v>
      </c>
      <c r="I317" t="s">
        <v>2375</v>
      </c>
      <c r="J317" t="s">
        <v>2375</v>
      </c>
      <c r="K317" t="s">
        <v>2374</v>
      </c>
    </row>
    <row r="318" spans="1:11" x14ac:dyDescent="0.3">
      <c r="A318" t="s">
        <v>1004</v>
      </c>
      <c r="B318" t="s">
        <v>1349</v>
      </c>
      <c r="C318" t="s">
        <v>215</v>
      </c>
      <c r="D318" t="s">
        <v>1384</v>
      </c>
      <c r="E318" t="s">
        <v>1702</v>
      </c>
      <c r="F318" t="s">
        <v>1900</v>
      </c>
      <c r="G318" t="s">
        <v>2137</v>
      </c>
      <c r="H318" t="s">
        <v>2353</v>
      </c>
      <c r="I318" t="s">
        <v>2374</v>
      </c>
      <c r="J318" t="s">
        <v>2374</v>
      </c>
      <c r="K318" t="s">
        <v>2375</v>
      </c>
    </row>
    <row r="319" spans="1:11" x14ac:dyDescent="0.3">
      <c r="A319" t="s">
        <v>1005</v>
      </c>
      <c r="B319" t="s">
        <v>1350</v>
      </c>
      <c r="C319" t="s">
        <v>248</v>
      </c>
      <c r="D319" t="s">
        <v>1385</v>
      </c>
      <c r="E319" t="s">
        <v>1703</v>
      </c>
      <c r="F319" t="s">
        <v>1740</v>
      </c>
      <c r="G319" t="s">
        <v>2138</v>
      </c>
      <c r="H319" t="s">
        <v>2354</v>
      </c>
      <c r="I319" t="s">
        <v>2374</v>
      </c>
      <c r="J319" t="s">
        <v>2375</v>
      </c>
      <c r="K319" t="s">
        <v>2375</v>
      </c>
    </row>
    <row r="320" spans="1:11" x14ac:dyDescent="0.3">
      <c r="A320" t="s">
        <v>1006</v>
      </c>
      <c r="B320" t="s">
        <v>1351</v>
      </c>
      <c r="C320" t="s">
        <v>197</v>
      </c>
      <c r="D320" t="s">
        <v>1383</v>
      </c>
      <c r="E320" t="s">
        <v>1704</v>
      </c>
      <c r="F320" t="s">
        <v>1901</v>
      </c>
      <c r="G320" t="s">
        <v>341</v>
      </c>
      <c r="H320" t="s">
        <v>2355</v>
      </c>
      <c r="I320" t="s">
        <v>2375</v>
      </c>
      <c r="J320" t="s">
        <v>2375</v>
      </c>
      <c r="K320" t="s">
        <v>2374</v>
      </c>
    </row>
    <row r="321" spans="1:11" x14ac:dyDescent="0.3">
      <c r="A321" t="s">
        <v>1007</v>
      </c>
      <c r="B321" t="s">
        <v>1352</v>
      </c>
      <c r="C321" t="s">
        <v>222</v>
      </c>
      <c r="D321" t="s">
        <v>1385</v>
      </c>
      <c r="E321" t="s">
        <v>1705</v>
      </c>
      <c r="F321" t="s">
        <v>1740</v>
      </c>
      <c r="G321" t="s">
        <v>350</v>
      </c>
      <c r="H321" t="s">
        <v>2356</v>
      </c>
      <c r="I321" t="s">
        <v>2374</v>
      </c>
      <c r="J321" t="s">
        <v>2374</v>
      </c>
      <c r="K321" t="s">
        <v>2374</v>
      </c>
    </row>
    <row r="322" spans="1:11" x14ac:dyDescent="0.3">
      <c r="A322" t="s">
        <v>1008</v>
      </c>
      <c r="B322" t="s">
        <v>1353</v>
      </c>
      <c r="C322" t="s">
        <v>242</v>
      </c>
      <c r="D322" t="s">
        <v>1385</v>
      </c>
      <c r="E322" t="s">
        <v>1706</v>
      </c>
      <c r="F322" t="s">
        <v>1740</v>
      </c>
      <c r="G322" t="s">
        <v>2139</v>
      </c>
      <c r="H322" t="s">
        <v>2357</v>
      </c>
      <c r="I322" t="s">
        <v>2375</v>
      </c>
      <c r="J322" t="s">
        <v>2375</v>
      </c>
      <c r="K322" t="s">
        <v>2375</v>
      </c>
    </row>
    <row r="323" spans="1:11" x14ac:dyDescent="0.3">
      <c r="A323" t="s">
        <v>1009</v>
      </c>
      <c r="B323" t="s">
        <v>1354</v>
      </c>
      <c r="C323" t="s">
        <v>222</v>
      </c>
      <c r="D323" t="s">
        <v>1384</v>
      </c>
      <c r="E323" t="s">
        <v>1707</v>
      </c>
      <c r="F323" t="s">
        <v>377</v>
      </c>
      <c r="G323" t="s">
        <v>270</v>
      </c>
      <c r="H323" t="s">
        <v>2358</v>
      </c>
      <c r="I323" t="s">
        <v>2374</v>
      </c>
      <c r="J323" t="s">
        <v>2374</v>
      </c>
      <c r="K323" t="s">
        <v>2374</v>
      </c>
    </row>
    <row r="324" spans="1:11" x14ac:dyDescent="0.3">
      <c r="A324" t="s">
        <v>1010</v>
      </c>
      <c r="B324" t="s">
        <v>1355</v>
      </c>
      <c r="C324" t="s">
        <v>211</v>
      </c>
      <c r="D324" t="s">
        <v>1384</v>
      </c>
      <c r="E324" t="s">
        <v>1708</v>
      </c>
      <c r="F324" t="s">
        <v>346</v>
      </c>
      <c r="G324" t="s">
        <v>310</v>
      </c>
      <c r="H324" t="s">
        <v>2359</v>
      </c>
      <c r="I324" t="s">
        <v>2375</v>
      </c>
      <c r="J324" t="s">
        <v>2374</v>
      </c>
      <c r="K324" t="s">
        <v>2374</v>
      </c>
    </row>
    <row r="325" spans="1:11" x14ac:dyDescent="0.3">
      <c r="A325" t="s">
        <v>1011</v>
      </c>
      <c r="B325" t="s">
        <v>1356</v>
      </c>
      <c r="C325" t="s">
        <v>247</v>
      </c>
      <c r="D325" t="s">
        <v>1384</v>
      </c>
      <c r="E325" t="s">
        <v>1709</v>
      </c>
      <c r="F325" t="s">
        <v>1902</v>
      </c>
      <c r="G325" t="s">
        <v>593</v>
      </c>
      <c r="H325" t="s">
        <v>325</v>
      </c>
      <c r="I325" t="s">
        <v>2374</v>
      </c>
      <c r="J325" t="s">
        <v>2374</v>
      </c>
      <c r="K325" t="s">
        <v>2374</v>
      </c>
    </row>
    <row r="326" spans="1:11" x14ac:dyDescent="0.3">
      <c r="A326" t="s">
        <v>1012</v>
      </c>
      <c r="B326" t="s">
        <v>1357</v>
      </c>
      <c r="C326" t="s">
        <v>244</v>
      </c>
      <c r="D326" t="s">
        <v>1385</v>
      </c>
      <c r="E326" t="s">
        <v>1710</v>
      </c>
      <c r="F326" t="s">
        <v>1740</v>
      </c>
      <c r="G326" t="s">
        <v>409</v>
      </c>
      <c r="H326" t="s">
        <v>2360</v>
      </c>
      <c r="I326" t="s">
        <v>2375</v>
      </c>
      <c r="J326" t="s">
        <v>2374</v>
      </c>
      <c r="K326" t="s">
        <v>2374</v>
      </c>
    </row>
    <row r="327" spans="1:11" x14ac:dyDescent="0.3">
      <c r="A327" t="s">
        <v>1013</v>
      </c>
      <c r="B327" t="s">
        <v>1358</v>
      </c>
      <c r="C327" t="s">
        <v>227</v>
      </c>
      <c r="D327" t="s">
        <v>1383</v>
      </c>
      <c r="E327" t="s">
        <v>1711</v>
      </c>
      <c r="F327" t="s">
        <v>1903</v>
      </c>
      <c r="G327" t="s">
        <v>608</v>
      </c>
      <c r="H327" t="s">
        <v>2361</v>
      </c>
      <c r="I327" t="s">
        <v>2375</v>
      </c>
      <c r="J327" t="s">
        <v>2374</v>
      </c>
      <c r="K327" t="s">
        <v>2375</v>
      </c>
    </row>
    <row r="328" spans="1:11" x14ac:dyDescent="0.3">
      <c r="A328" t="s">
        <v>1014</v>
      </c>
      <c r="B328" t="s">
        <v>1359</v>
      </c>
      <c r="C328" t="s">
        <v>242</v>
      </c>
      <c r="D328" t="s">
        <v>1383</v>
      </c>
      <c r="E328" t="s">
        <v>1712</v>
      </c>
      <c r="F328" t="s">
        <v>1904</v>
      </c>
      <c r="G328" t="s">
        <v>2140</v>
      </c>
      <c r="H328" t="s">
        <v>2362</v>
      </c>
      <c r="I328" t="s">
        <v>2374</v>
      </c>
      <c r="J328" t="s">
        <v>2374</v>
      </c>
      <c r="K328" t="s">
        <v>2375</v>
      </c>
    </row>
    <row r="329" spans="1:11" x14ac:dyDescent="0.3">
      <c r="A329" t="s">
        <v>1015</v>
      </c>
      <c r="B329" t="s">
        <v>1360</v>
      </c>
      <c r="C329" t="s">
        <v>249</v>
      </c>
      <c r="D329" t="s">
        <v>1383</v>
      </c>
      <c r="E329" t="s">
        <v>1713</v>
      </c>
      <c r="F329" t="s">
        <v>308</v>
      </c>
      <c r="G329" t="s">
        <v>2031</v>
      </c>
      <c r="H329" t="s">
        <v>2363</v>
      </c>
      <c r="I329" t="s">
        <v>2374</v>
      </c>
      <c r="J329" t="s">
        <v>2374</v>
      </c>
      <c r="K329" t="s">
        <v>2375</v>
      </c>
    </row>
    <row r="330" spans="1:11" x14ac:dyDescent="0.3">
      <c r="A330" t="s">
        <v>1016</v>
      </c>
      <c r="B330" t="s">
        <v>1361</v>
      </c>
      <c r="C330" t="s">
        <v>191</v>
      </c>
      <c r="D330" t="s">
        <v>1383</v>
      </c>
      <c r="E330" t="s">
        <v>1714</v>
      </c>
      <c r="F330" t="s">
        <v>1905</v>
      </c>
      <c r="G330" t="s">
        <v>2141</v>
      </c>
      <c r="H330" t="s">
        <v>2364</v>
      </c>
      <c r="I330" t="s">
        <v>2374</v>
      </c>
      <c r="J330" t="s">
        <v>2374</v>
      </c>
      <c r="K330" t="s">
        <v>2374</v>
      </c>
    </row>
    <row r="331" spans="1:11" x14ac:dyDescent="0.3">
      <c r="A331" t="s">
        <v>1017</v>
      </c>
      <c r="B331" t="s">
        <v>1362</v>
      </c>
      <c r="C331" t="s">
        <v>192</v>
      </c>
      <c r="D331" t="s">
        <v>1383</v>
      </c>
      <c r="E331" t="s">
        <v>1715</v>
      </c>
      <c r="F331" t="s">
        <v>324</v>
      </c>
      <c r="G331" t="s">
        <v>478</v>
      </c>
      <c r="H331" t="s">
        <v>2365</v>
      </c>
      <c r="I331" t="s">
        <v>2374</v>
      </c>
      <c r="J331" t="s">
        <v>2374</v>
      </c>
      <c r="K331" t="s">
        <v>2374</v>
      </c>
    </row>
    <row r="332" spans="1:11" x14ac:dyDescent="0.3">
      <c r="A332" t="s">
        <v>1018</v>
      </c>
      <c r="B332" t="s">
        <v>1363</v>
      </c>
      <c r="C332" t="s">
        <v>209</v>
      </c>
      <c r="D332" t="s">
        <v>1384</v>
      </c>
      <c r="E332" t="s">
        <v>1716</v>
      </c>
      <c r="F332" t="s">
        <v>1906</v>
      </c>
      <c r="G332" t="s">
        <v>422</v>
      </c>
      <c r="H332" t="s">
        <v>508</v>
      </c>
      <c r="I332" t="s">
        <v>2375</v>
      </c>
      <c r="J332" t="s">
        <v>2374</v>
      </c>
      <c r="K332" t="s">
        <v>2374</v>
      </c>
    </row>
    <row r="333" spans="1:11" x14ac:dyDescent="0.3">
      <c r="A333" t="s">
        <v>1019</v>
      </c>
      <c r="B333" t="s">
        <v>1364</v>
      </c>
      <c r="C333" t="s">
        <v>192</v>
      </c>
      <c r="D333" t="s">
        <v>1384</v>
      </c>
      <c r="E333" t="s">
        <v>1717</v>
      </c>
      <c r="F333" t="s">
        <v>519</v>
      </c>
      <c r="G333" t="s">
        <v>2142</v>
      </c>
      <c r="H333" t="s">
        <v>2053</v>
      </c>
      <c r="I333" t="s">
        <v>2375</v>
      </c>
      <c r="J333" t="s">
        <v>2374</v>
      </c>
      <c r="K333" t="s">
        <v>2374</v>
      </c>
    </row>
    <row r="334" spans="1:11" x14ac:dyDescent="0.3">
      <c r="A334" t="s">
        <v>1020</v>
      </c>
      <c r="B334" t="s">
        <v>1365</v>
      </c>
      <c r="C334" t="s">
        <v>191</v>
      </c>
      <c r="D334" t="s">
        <v>1383</v>
      </c>
      <c r="E334" t="s">
        <v>1718</v>
      </c>
      <c r="F334" t="s">
        <v>1907</v>
      </c>
      <c r="G334" t="s">
        <v>1972</v>
      </c>
      <c r="H334" t="s">
        <v>2366</v>
      </c>
      <c r="I334" t="s">
        <v>2374</v>
      </c>
      <c r="J334" t="s">
        <v>2374</v>
      </c>
      <c r="K334" t="s">
        <v>2374</v>
      </c>
    </row>
    <row r="335" spans="1:11" x14ac:dyDescent="0.3">
      <c r="A335" t="s">
        <v>1021</v>
      </c>
      <c r="B335" t="s">
        <v>1366</v>
      </c>
      <c r="C335" t="s">
        <v>209</v>
      </c>
      <c r="D335" t="s">
        <v>1383</v>
      </c>
      <c r="E335" t="s">
        <v>1719</v>
      </c>
      <c r="F335" t="s">
        <v>1908</v>
      </c>
      <c r="G335" t="s">
        <v>506</v>
      </c>
      <c r="H335" t="s">
        <v>1956</v>
      </c>
      <c r="I335" t="s">
        <v>2375</v>
      </c>
      <c r="J335" t="s">
        <v>2374</v>
      </c>
      <c r="K335" t="s">
        <v>2374</v>
      </c>
    </row>
    <row r="336" spans="1:11" x14ac:dyDescent="0.3">
      <c r="A336" t="s">
        <v>1022</v>
      </c>
      <c r="B336" t="s">
        <v>1367</v>
      </c>
      <c r="C336" t="s">
        <v>244</v>
      </c>
      <c r="D336" t="s">
        <v>1385</v>
      </c>
      <c r="E336" t="s">
        <v>1720</v>
      </c>
      <c r="F336" t="s">
        <v>1740</v>
      </c>
      <c r="G336" t="s">
        <v>2143</v>
      </c>
      <c r="H336" t="s">
        <v>2367</v>
      </c>
      <c r="I336" t="s">
        <v>2374</v>
      </c>
      <c r="J336" t="s">
        <v>2374</v>
      </c>
      <c r="K336" t="s">
        <v>2374</v>
      </c>
    </row>
    <row r="337" spans="1:11" x14ac:dyDescent="0.3">
      <c r="A337" t="s">
        <v>1023</v>
      </c>
      <c r="B337" t="s">
        <v>1368</v>
      </c>
      <c r="C337" t="s">
        <v>244</v>
      </c>
      <c r="D337" t="s">
        <v>1384</v>
      </c>
      <c r="E337" t="s">
        <v>1721</v>
      </c>
      <c r="F337" t="s">
        <v>1909</v>
      </c>
      <c r="G337" t="s">
        <v>320</v>
      </c>
      <c r="H337" t="s">
        <v>456</v>
      </c>
      <c r="I337" t="s">
        <v>2374</v>
      </c>
      <c r="J337" t="s">
        <v>2374</v>
      </c>
      <c r="K337" t="s">
        <v>2374</v>
      </c>
    </row>
    <row r="338" spans="1:11" x14ac:dyDescent="0.3">
      <c r="A338" t="s">
        <v>1024</v>
      </c>
      <c r="B338" t="s">
        <v>1369</v>
      </c>
      <c r="C338" t="s">
        <v>237</v>
      </c>
      <c r="D338" t="s">
        <v>1385</v>
      </c>
      <c r="E338" t="s">
        <v>1722</v>
      </c>
      <c r="F338" t="s">
        <v>1740</v>
      </c>
      <c r="G338" t="s">
        <v>2144</v>
      </c>
      <c r="H338" t="s">
        <v>2368</v>
      </c>
      <c r="I338" t="s">
        <v>2375</v>
      </c>
      <c r="J338" t="s">
        <v>2374</v>
      </c>
      <c r="K338" t="s">
        <v>2374</v>
      </c>
    </row>
    <row r="339" spans="1:11" x14ac:dyDescent="0.3">
      <c r="A339" t="s">
        <v>1025</v>
      </c>
      <c r="B339" t="s">
        <v>1370</v>
      </c>
      <c r="C339" t="s">
        <v>244</v>
      </c>
      <c r="D339" t="s">
        <v>1385</v>
      </c>
      <c r="E339" t="s">
        <v>1723</v>
      </c>
      <c r="F339" t="s">
        <v>1740</v>
      </c>
      <c r="G339" t="s">
        <v>2145</v>
      </c>
      <c r="H339" t="s">
        <v>442</v>
      </c>
      <c r="I339" t="s">
        <v>2375</v>
      </c>
      <c r="J339" t="s">
        <v>2374</v>
      </c>
      <c r="K339" t="s">
        <v>2374</v>
      </c>
    </row>
    <row r="340" spans="1:11" x14ac:dyDescent="0.3">
      <c r="A340" t="s">
        <v>1026</v>
      </c>
      <c r="B340" t="s">
        <v>1371</v>
      </c>
      <c r="C340" t="s">
        <v>196</v>
      </c>
      <c r="D340" t="s">
        <v>1385</v>
      </c>
      <c r="E340" t="s">
        <v>1724</v>
      </c>
      <c r="F340" t="s">
        <v>1740</v>
      </c>
      <c r="G340" t="s">
        <v>2146</v>
      </c>
      <c r="H340" t="s">
        <v>2203</v>
      </c>
      <c r="I340" t="s">
        <v>2374</v>
      </c>
      <c r="J340" t="s">
        <v>2375</v>
      </c>
      <c r="K340" t="s">
        <v>2374</v>
      </c>
    </row>
    <row r="341" spans="1:11" x14ac:dyDescent="0.3">
      <c r="A341" t="s">
        <v>1027</v>
      </c>
      <c r="B341" t="s">
        <v>1372</v>
      </c>
      <c r="C341" t="s">
        <v>218</v>
      </c>
      <c r="D341" t="s">
        <v>1385</v>
      </c>
      <c r="E341" t="s">
        <v>1725</v>
      </c>
      <c r="F341" t="s">
        <v>1740</v>
      </c>
      <c r="G341" t="s">
        <v>2147</v>
      </c>
      <c r="H341" t="s">
        <v>417</v>
      </c>
      <c r="I341" t="s">
        <v>2374</v>
      </c>
      <c r="J341" t="s">
        <v>2375</v>
      </c>
      <c r="K341" t="s">
        <v>2374</v>
      </c>
    </row>
    <row r="342" spans="1:11" x14ac:dyDescent="0.3">
      <c r="A342" t="s">
        <v>1028</v>
      </c>
      <c r="B342" t="s">
        <v>1373</v>
      </c>
      <c r="C342" t="s">
        <v>248</v>
      </c>
      <c r="D342" t="s">
        <v>1384</v>
      </c>
      <c r="E342" t="s">
        <v>1726</v>
      </c>
      <c r="F342" t="s">
        <v>1910</v>
      </c>
      <c r="G342" t="s">
        <v>2148</v>
      </c>
      <c r="H342" t="s">
        <v>2369</v>
      </c>
      <c r="I342" t="s">
        <v>2374</v>
      </c>
      <c r="J342" t="s">
        <v>2374</v>
      </c>
      <c r="K342" t="s">
        <v>2374</v>
      </c>
    </row>
    <row r="343" spans="1:11" x14ac:dyDescent="0.3">
      <c r="A343" t="s">
        <v>1029</v>
      </c>
      <c r="B343" t="s">
        <v>1374</v>
      </c>
      <c r="C343" t="s">
        <v>228</v>
      </c>
      <c r="D343" t="s">
        <v>1385</v>
      </c>
      <c r="E343" t="s">
        <v>1727</v>
      </c>
      <c r="F343" t="s">
        <v>1740</v>
      </c>
      <c r="G343" t="s">
        <v>2149</v>
      </c>
      <c r="H343" t="s">
        <v>2370</v>
      </c>
      <c r="I343" t="s">
        <v>2374</v>
      </c>
      <c r="J343" t="s">
        <v>2375</v>
      </c>
      <c r="K343" t="s">
        <v>2374</v>
      </c>
    </row>
    <row r="344" spans="1:11" x14ac:dyDescent="0.3">
      <c r="A344" t="s">
        <v>1030</v>
      </c>
      <c r="B344" t="s">
        <v>1375</v>
      </c>
      <c r="C344" t="s">
        <v>195</v>
      </c>
      <c r="D344" t="s">
        <v>1383</v>
      </c>
      <c r="E344" t="s">
        <v>1728</v>
      </c>
      <c r="F344" t="s">
        <v>286</v>
      </c>
      <c r="G344" t="s">
        <v>2150</v>
      </c>
      <c r="H344" t="s">
        <v>672</v>
      </c>
      <c r="I344" t="s">
        <v>2374</v>
      </c>
      <c r="J344" t="s">
        <v>2375</v>
      </c>
      <c r="K344" t="s">
        <v>2374</v>
      </c>
    </row>
    <row r="345" spans="1:11" x14ac:dyDescent="0.3">
      <c r="A345" t="s">
        <v>1031</v>
      </c>
      <c r="B345" t="s">
        <v>1376</v>
      </c>
      <c r="C345" t="s">
        <v>204</v>
      </c>
      <c r="D345" t="s">
        <v>1383</v>
      </c>
      <c r="E345" t="s">
        <v>1729</v>
      </c>
      <c r="F345" t="s">
        <v>1911</v>
      </c>
      <c r="G345" t="s">
        <v>2151</v>
      </c>
      <c r="H345" t="s">
        <v>2371</v>
      </c>
      <c r="I345" t="s">
        <v>2374</v>
      </c>
      <c r="J345" t="s">
        <v>2375</v>
      </c>
      <c r="K345" t="s">
        <v>2374</v>
      </c>
    </row>
    <row r="346" spans="1:11" x14ac:dyDescent="0.3">
      <c r="A346" t="s">
        <v>1032</v>
      </c>
      <c r="B346" t="s">
        <v>1377</v>
      </c>
      <c r="C346" t="s">
        <v>238</v>
      </c>
      <c r="D346" t="s">
        <v>1384</v>
      </c>
      <c r="E346" t="s">
        <v>1730</v>
      </c>
      <c r="F346" t="s">
        <v>1912</v>
      </c>
      <c r="G346" t="s">
        <v>280</v>
      </c>
      <c r="H346" t="s">
        <v>2372</v>
      </c>
      <c r="I346" t="s">
        <v>2374</v>
      </c>
      <c r="J346" t="s">
        <v>2375</v>
      </c>
      <c r="K346" t="s">
        <v>2374</v>
      </c>
    </row>
    <row r="347" spans="1:11" x14ac:dyDescent="0.3">
      <c r="A347" t="s">
        <v>1033</v>
      </c>
      <c r="B347" t="s">
        <v>1378</v>
      </c>
      <c r="C347" t="s">
        <v>237</v>
      </c>
      <c r="D347" t="s">
        <v>1385</v>
      </c>
      <c r="E347" t="s">
        <v>1731</v>
      </c>
      <c r="F347" t="s">
        <v>1740</v>
      </c>
      <c r="G347" t="s">
        <v>338</v>
      </c>
      <c r="H347" t="s">
        <v>1906</v>
      </c>
      <c r="I347" t="s">
        <v>2374</v>
      </c>
      <c r="J347" t="s">
        <v>2374</v>
      </c>
      <c r="K347" t="s">
        <v>2374</v>
      </c>
    </row>
    <row r="348" spans="1:11" x14ac:dyDescent="0.3">
      <c r="A348" t="s">
        <v>1034</v>
      </c>
      <c r="B348" t="s">
        <v>1379</v>
      </c>
      <c r="C348" t="s">
        <v>233</v>
      </c>
      <c r="D348" t="s">
        <v>1384</v>
      </c>
      <c r="E348" t="s">
        <v>1732</v>
      </c>
      <c r="F348" t="s">
        <v>461</v>
      </c>
      <c r="G348" t="s">
        <v>2152</v>
      </c>
      <c r="H348" t="s">
        <v>2373</v>
      </c>
      <c r="I348" t="s">
        <v>2374</v>
      </c>
      <c r="J348" t="s">
        <v>2374</v>
      </c>
      <c r="K348" t="s">
        <v>2374</v>
      </c>
    </row>
    <row r="349" spans="1:11" x14ac:dyDescent="0.3">
      <c r="A349" t="s">
        <v>1035</v>
      </c>
      <c r="B349" t="s">
        <v>1380</v>
      </c>
      <c r="C349" t="s">
        <v>225</v>
      </c>
      <c r="D349" t="s">
        <v>1384</v>
      </c>
      <c r="E349" t="s">
        <v>1733</v>
      </c>
      <c r="F349" t="s">
        <v>477</v>
      </c>
      <c r="G349" t="s">
        <v>476</v>
      </c>
      <c r="H349" t="s">
        <v>662</v>
      </c>
      <c r="I349" t="s">
        <v>2374</v>
      </c>
      <c r="J349" t="s">
        <v>2374</v>
      </c>
      <c r="K349" t="s">
        <v>2374</v>
      </c>
    </row>
    <row r="350" spans="1:11" x14ac:dyDescent="0.3">
      <c r="A350" t="s">
        <v>1036</v>
      </c>
      <c r="B350" t="s">
        <v>1381</v>
      </c>
      <c r="C350" t="s">
        <v>221</v>
      </c>
      <c r="D350" t="s">
        <v>1385</v>
      </c>
      <c r="E350" t="s">
        <v>1734</v>
      </c>
      <c r="F350" t="s">
        <v>1740</v>
      </c>
      <c r="G350" t="s">
        <v>2153</v>
      </c>
      <c r="H350" t="s">
        <v>521</v>
      </c>
      <c r="I350" t="s">
        <v>2374</v>
      </c>
      <c r="J350" t="s">
        <v>2375</v>
      </c>
      <c r="K350" t="s">
        <v>2374</v>
      </c>
    </row>
    <row r="351" spans="1:11" x14ac:dyDescent="0.3">
      <c r="A351" t="s">
        <v>1037</v>
      </c>
      <c r="B351" t="s">
        <v>1382</v>
      </c>
      <c r="C351" t="s">
        <v>191</v>
      </c>
      <c r="D351" t="s">
        <v>1385</v>
      </c>
      <c r="E351" t="s">
        <v>1735</v>
      </c>
      <c r="F351" t="s">
        <v>1740</v>
      </c>
      <c r="G351" t="s">
        <v>1829</v>
      </c>
      <c r="H351" t="s">
        <v>1905</v>
      </c>
      <c r="I351" t="s">
        <v>2374</v>
      </c>
      <c r="J351" t="s">
        <v>2375</v>
      </c>
      <c r="K351" t="s">
        <v>2374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workbookViewId="0">
      <selection activeCell="F47" sqref="F47"/>
    </sheetView>
  </sheetViews>
  <sheetFormatPr defaultRowHeight="14.4" x14ac:dyDescent="0.3"/>
  <cols>
    <col min="1" max="5" width="13" customWidth="1"/>
    <col min="6" max="6" width="17.5546875" customWidth="1"/>
    <col min="7" max="7" width="17.5546875" bestFit="1" customWidth="1"/>
    <col min="8" max="8" width="12.77734375" style="1" customWidth="1"/>
    <col min="9" max="9" width="19.21875" style="2" customWidth="1"/>
    <col min="10" max="10" width="16.77734375" style="2" customWidth="1"/>
  </cols>
  <sheetData>
    <row r="1" spans="1:10" x14ac:dyDescent="0.3">
      <c r="A1" t="s">
        <v>0</v>
      </c>
      <c r="B1" t="s">
        <v>4396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2" t="s">
        <v>7</v>
      </c>
      <c r="J1" s="2" t="s">
        <v>8</v>
      </c>
    </row>
    <row r="2" spans="1:10" x14ac:dyDescent="0.3">
      <c r="A2" t="s">
        <v>9</v>
      </c>
      <c r="B2" t="s">
        <v>2442</v>
      </c>
      <c r="C2" t="s">
        <v>2742</v>
      </c>
      <c r="D2" t="s">
        <v>189</v>
      </c>
      <c r="E2" t="s">
        <v>237</v>
      </c>
      <c r="F2" t="s">
        <v>250</v>
      </c>
      <c r="G2" t="s">
        <v>254</v>
      </c>
      <c r="H2" s="1">
        <v>45951</v>
      </c>
      <c r="I2" s="2">
        <v>43494</v>
      </c>
      <c r="J2" s="2" t="s">
        <v>611</v>
      </c>
    </row>
    <row r="3" spans="1:10" x14ac:dyDescent="0.3">
      <c r="A3" t="s">
        <v>10</v>
      </c>
      <c r="B3" t="s">
        <v>2445</v>
      </c>
      <c r="C3" t="s">
        <v>2745</v>
      </c>
      <c r="D3" t="s">
        <v>189</v>
      </c>
      <c r="E3" t="s">
        <v>246</v>
      </c>
      <c r="F3" t="s">
        <v>251</v>
      </c>
      <c r="G3" t="s">
        <v>255</v>
      </c>
      <c r="H3" s="1">
        <v>44203</v>
      </c>
      <c r="I3" s="2">
        <v>45577</v>
      </c>
      <c r="J3" s="2">
        <v>45095</v>
      </c>
    </row>
    <row r="4" spans="1:10" x14ac:dyDescent="0.3">
      <c r="A4" t="s">
        <v>11</v>
      </c>
      <c r="B4" t="s">
        <v>2447</v>
      </c>
      <c r="C4" t="s">
        <v>2747</v>
      </c>
      <c r="D4" t="s">
        <v>189</v>
      </c>
      <c r="E4" t="s">
        <v>241</v>
      </c>
      <c r="F4" t="s">
        <v>252</v>
      </c>
      <c r="G4" t="s">
        <v>256</v>
      </c>
      <c r="H4" s="1">
        <v>42829</v>
      </c>
      <c r="I4" s="2">
        <v>44706</v>
      </c>
      <c r="J4" s="2">
        <v>43630</v>
      </c>
    </row>
    <row r="5" spans="1:10" x14ac:dyDescent="0.3">
      <c r="A5" t="s">
        <v>12</v>
      </c>
      <c r="B5" t="s">
        <v>2451</v>
      </c>
      <c r="C5" t="s">
        <v>2751</v>
      </c>
      <c r="D5" t="s">
        <v>189</v>
      </c>
      <c r="E5" t="s">
        <v>193</v>
      </c>
      <c r="F5" t="s">
        <v>252</v>
      </c>
      <c r="G5" t="s">
        <v>255</v>
      </c>
      <c r="H5" s="1">
        <v>44870</v>
      </c>
      <c r="I5" s="2">
        <v>43660</v>
      </c>
      <c r="J5" s="2" t="s">
        <v>611</v>
      </c>
    </row>
    <row r="6" spans="1:10" x14ac:dyDescent="0.3">
      <c r="A6" t="s">
        <v>13</v>
      </c>
      <c r="B6" t="s">
        <v>2454</v>
      </c>
      <c r="C6" t="s">
        <v>2754</v>
      </c>
      <c r="D6" t="s">
        <v>189</v>
      </c>
      <c r="E6" t="s">
        <v>207</v>
      </c>
      <c r="F6" t="s">
        <v>251</v>
      </c>
      <c r="G6" t="s">
        <v>254</v>
      </c>
      <c r="H6" s="1">
        <v>45763</v>
      </c>
      <c r="I6" s="2">
        <v>45876</v>
      </c>
      <c r="J6" s="2">
        <v>43143</v>
      </c>
    </row>
    <row r="7" spans="1:10" x14ac:dyDescent="0.3">
      <c r="A7" t="s">
        <v>14</v>
      </c>
      <c r="B7" t="s">
        <v>2455</v>
      </c>
      <c r="C7" t="s">
        <v>2755</v>
      </c>
      <c r="D7" t="s">
        <v>189</v>
      </c>
      <c r="E7" t="s">
        <v>228</v>
      </c>
      <c r="F7" t="s">
        <v>250</v>
      </c>
      <c r="G7" t="s">
        <v>256</v>
      </c>
      <c r="H7" s="1">
        <v>45553</v>
      </c>
      <c r="I7" s="2">
        <v>44783</v>
      </c>
      <c r="J7" s="2">
        <v>45452</v>
      </c>
    </row>
    <row r="8" spans="1:10" x14ac:dyDescent="0.3">
      <c r="A8" t="s">
        <v>15</v>
      </c>
      <c r="B8" t="s">
        <v>2461</v>
      </c>
      <c r="C8" t="s">
        <v>2761</v>
      </c>
      <c r="D8" t="s">
        <v>189</v>
      </c>
      <c r="E8" t="s">
        <v>218</v>
      </c>
      <c r="F8" t="s">
        <v>251</v>
      </c>
      <c r="G8" t="s">
        <v>256</v>
      </c>
      <c r="H8" s="1">
        <v>43055</v>
      </c>
      <c r="I8" s="2">
        <v>46200</v>
      </c>
      <c r="J8" s="2" t="s">
        <v>611</v>
      </c>
    </row>
    <row r="9" spans="1:10" x14ac:dyDescent="0.3">
      <c r="A9" t="s">
        <v>16</v>
      </c>
      <c r="B9" t="s">
        <v>2464</v>
      </c>
      <c r="C9" t="s">
        <v>2764</v>
      </c>
      <c r="D9" t="s">
        <v>189</v>
      </c>
      <c r="E9" t="s">
        <v>210</v>
      </c>
      <c r="F9" t="s">
        <v>252</v>
      </c>
      <c r="G9" t="s">
        <v>256</v>
      </c>
      <c r="H9" s="1">
        <v>45271</v>
      </c>
      <c r="I9" s="2">
        <v>43304</v>
      </c>
      <c r="J9" s="2" t="s">
        <v>611</v>
      </c>
    </row>
    <row r="10" spans="1:10" x14ac:dyDescent="0.3">
      <c r="A10" t="s">
        <v>17</v>
      </c>
      <c r="B10" t="s">
        <v>2465</v>
      </c>
      <c r="C10" t="s">
        <v>2765</v>
      </c>
      <c r="D10" t="s">
        <v>189</v>
      </c>
      <c r="E10" t="s">
        <v>226</v>
      </c>
      <c r="F10" t="s">
        <v>250</v>
      </c>
      <c r="G10" t="s">
        <v>255</v>
      </c>
      <c r="H10" s="1">
        <v>44580</v>
      </c>
      <c r="I10" s="2">
        <v>43821</v>
      </c>
      <c r="J10" s="2" t="s">
        <v>611</v>
      </c>
    </row>
    <row r="11" spans="1:10" x14ac:dyDescent="0.3">
      <c r="A11" t="s">
        <v>18</v>
      </c>
      <c r="B11" t="s">
        <v>2467</v>
      </c>
      <c r="C11" t="s">
        <v>2767</v>
      </c>
      <c r="D11" t="s">
        <v>189</v>
      </c>
      <c r="E11" t="s">
        <v>239</v>
      </c>
      <c r="F11" t="s">
        <v>252</v>
      </c>
      <c r="G11" t="s">
        <v>256</v>
      </c>
      <c r="H11" s="1">
        <v>43901</v>
      </c>
      <c r="I11" s="2">
        <v>42715</v>
      </c>
      <c r="J11" s="2" t="s">
        <v>611</v>
      </c>
    </row>
    <row r="12" spans="1:10" x14ac:dyDescent="0.3">
      <c r="A12" t="s">
        <v>19</v>
      </c>
      <c r="B12" t="s">
        <v>2469</v>
      </c>
      <c r="C12" t="s">
        <v>2769</v>
      </c>
      <c r="D12" t="s">
        <v>189</v>
      </c>
      <c r="E12" t="s">
        <v>229</v>
      </c>
      <c r="F12" t="s">
        <v>252</v>
      </c>
      <c r="G12" t="s">
        <v>255</v>
      </c>
      <c r="H12" s="1">
        <v>42709</v>
      </c>
      <c r="I12" s="2">
        <v>45428</v>
      </c>
      <c r="J12" s="2">
        <v>43562</v>
      </c>
    </row>
    <row r="13" spans="1:10" x14ac:dyDescent="0.3">
      <c r="A13" t="s">
        <v>20</v>
      </c>
      <c r="B13" t="s">
        <v>2470</v>
      </c>
      <c r="C13" t="s">
        <v>2770</v>
      </c>
      <c r="D13" t="s">
        <v>189</v>
      </c>
      <c r="E13" t="s">
        <v>240</v>
      </c>
      <c r="F13" t="s">
        <v>252</v>
      </c>
      <c r="G13" t="s">
        <v>255</v>
      </c>
      <c r="H13" s="1">
        <v>45385</v>
      </c>
      <c r="I13" s="2">
        <v>45605</v>
      </c>
      <c r="J13" s="2" t="s">
        <v>611</v>
      </c>
    </row>
    <row r="14" spans="1:10" x14ac:dyDescent="0.3">
      <c r="A14" t="s">
        <v>21</v>
      </c>
      <c r="B14" t="s">
        <v>2473</v>
      </c>
      <c r="C14" t="s">
        <v>2773</v>
      </c>
      <c r="D14" t="s">
        <v>189</v>
      </c>
      <c r="E14" t="s">
        <v>216</v>
      </c>
      <c r="F14" t="s">
        <v>251</v>
      </c>
      <c r="G14" t="s">
        <v>256</v>
      </c>
      <c r="H14" s="1">
        <v>45141</v>
      </c>
      <c r="I14" s="2">
        <v>45750</v>
      </c>
      <c r="J14" s="2">
        <v>46005</v>
      </c>
    </row>
    <row r="15" spans="1:10" x14ac:dyDescent="0.3">
      <c r="A15" t="s">
        <v>22</v>
      </c>
      <c r="B15" t="s">
        <v>2475</v>
      </c>
      <c r="C15" t="s">
        <v>2775</v>
      </c>
      <c r="D15" t="s">
        <v>189</v>
      </c>
      <c r="E15" t="s">
        <v>245</v>
      </c>
      <c r="F15" t="s">
        <v>252</v>
      </c>
      <c r="G15" t="s">
        <v>254</v>
      </c>
      <c r="H15" s="1">
        <v>42628</v>
      </c>
      <c r="I15" s="2">
        <v>43402</v>
      </c>
      <c r="J15" s="2" t="s">
        <v>611</v>
      </c>
    </row>
    <row r="16" spans="1:10" x14ac:dyDescent="0.3">
      <c r="A16" t="s">
        <v>23</v>
      </c>
      <c r="B16" t="s">
        <v>2476</v>
      </c>
      <c r="C16" t="s">
        <v>2776</v>
      </c>
      <c r="D16" t="s">
        <v>189</v>
      </c>
      <c r="E16" t="s">
        <v>201</v>
      </c>
      <c r="F16" t="s">
        <v>251</v>
      </c>
      <c r="G16" t="s">
        <v>255</v>
      </c>
      <c r="H16" s="1">
        <v>44155</v>
      </c>
      <c r="I16" s="2">
        <v>44347</v>
      </c>
      <c r="J16" s="2" t="s">
        <v>611</v>
      </c>
    </row>
    <row r="17" spans="1:10" x14ac:dyDescent="0.3">
      <c r="A17" t="s">
        <v>24</v>
      </c>
      <c r="B17" t="s">
        <v>2477</v>
      </c>
      <c r="C17" t="s">
        <v>2777</v>
      </c>
      <c r="D17" t="s">
        <v>189</v>
      </c>
      <c r="E17" t="s">
        <v>205</v>
      </c>
      <c r="F17" t="s">
        <v>253</v>
      </c>
      <c r="G17" t="s">
        <v>256</v>
      </c>
      <c r="H17" s="1">
        <v>45451</v>
      </c>
      <c r="I17" s="2">
        <v>43554</v>
      </c>
      <c r="J17" s="2" t="s">
        <v>611</v>
      </c>
    </row>
    <row r="18" spans="1:10" x14ac:dyDescent="0.3">
      <c r="A18" t="s">
        <v>25</v>
      </c>
      <c r="B18" t="s">
        <v>2479</v>
      </c>
      <c r="C18" t="s">
        <v>2779</v>
      </c>
      <c r="D18" t="s">
        <v>189</v>
      </c>
      <c r="E18" t="s">
        <v>219</v>
      </c>
      <c r="F18" t="s">
        <v>251</v>
      </c>
      <c r="G18" t="s">
        <v>256</v>
      </c>
      <c r="H18" s="1">
        <v>44040</v>
      </c>
      <c r="I18" s="2">
        <v>43491</v>
      </c>
      <c r="J18" s="2">
        <v>43795</v>
      </c>
    </row>
    <row r="19" spans="1:10" x14ac:dyDescent="0.3">
      <c r="A19" t="s">
        <v>26</v>
      </c>
      <c r="B19" t="s">
        <v>2480</v>
      </c>
      <c r="C19" t="s">
        <v>2780</v>
      </c>
      <c r="D19" t="s">
        <v>189</v>
      </c>
      <c r="E19" t="s">
        <v>204</v>
      </c>
      <c r="F19" t="s">
        <v>253</v>
      </c>
      <c r="G19" t="s">
        <v>257</v>
      </c>
      <c r="H19" s="1">
        <v>44253</v>
      </c>
      <c r="I19" s="2">
        <v>46158</v>
      </c>
      <c r="J19" s="2" t="s">
        <v>611</v>
      </c>
    </row>
    <row r="20" spans="1:10" x14ac:dyDescent="0.3">
      <c r="A20" t="s">
        <v>27</v>
      </c>
      <c r="B20" t="s">
        <v>2482</v>
      </c>
      <c r="C20" t="s">
        <v>2782</v>
      </c>
      <c r="D20" t="s">
        <v>189</v>
      </c>
      <c r="E20" t="s">
        <v>229</v>
      </c>
      <c r="F20" t="s">
        <v>250</v>
      </c>
      <c r="G20" t="s">
        <v>254</v>
      </c>
      <c r="H20" s="1">
        <v>43449</v>
      </c>
      <c r="I20" s="2">
        <v>45410</v>
      </c>
      <c r="J20" s="2" t="s">
        <v>611</v>
      </c>
    </row>
    <row r="21" spans="1:10" x14ac:dyDescent="0.3">
      <c r="A21" t="s">
        <v>28</v>
      </c>
      <c r="B21" t="s">
        <v>2484</v>
      </c>
      <c r="C21" t="s">
        <v>2784</v>
      </c>
      <c r="D21" t="s">
        <v>189</v>
      </c>
      <c r="E21" t="s">
        <v>230</v>
      </c>
      <c r="F21" t="s">
        <v>253</v>
      </c>
      <c r="G21" t="s">
        <v>255</v>
      </c>
      <c r="H21" s="1">
        <v>45180</v>
      </c>
      <c r="I21" s="2">
        <v>44586</v>
      </c>
      <c r="J21" s="2" t="s">
        <v>611</v>
      </c>
    </row>
    <row r="22" spans="1:10" x14ac:dyDescent="0.3">
      <c r="A22" t="s">
        <v>29</v>
      </c>
      <c r="B22" t="s">
        <v>2485</v>
      </c>
      <c r="C22" t="s">
        <v>2785</v>
      </c>
      <c r="D22" t="s">
        <v>189</v>
      </c>
      <c r="E22" t="s">
        <v>213</v>
      </c>
      <c r="F22" t="s">
        <v>250</v>
      </c>
      <c r="G22" t="s">
        <v>254</v>
      </c>
      <c r="H22" s="1">
        <v>45949</v>
      </c>
      <c r="I22" s="2">
        <v>43426</v>
      </c>
      <c r="J22" s="2" t="s">
        <v>611</v>
      </c>
    </row>
    <row r="23" spans="1:10" x14ac:dyDescent="0.3">
      <c r="A23" t="s">
        <v>30</v>
      </c>
      <c r="B23" t="s">
        <v>2488</v>
      </c>
      <c r="C23" t="s">
        <v>2788</v>
      </c>
      <c r="D23" t="s">
        <v>189</v>
      </c>
      <c r="E23" t="s">
        <v>215</v>
      </c>
      <c r="F23" t="s">
        <v>251</v>
      </c>
      <c r="G23" t="s">
        <v>254</v>
      </c>
      <c r="H23" s="1">
        <v>46118</v>
      </c>
      <c r="I23" s="2">
        <v>45100</v>
      </c>
      <c r="J23" s="2" t="s">
        <v>611</v>
      </c>
    </row>
    <row r="24" spans="1:10" x14ac:dyDescent="0.3">
      <c r="A24" t="s">
        <v>31</v>
      </c>
      <c r="B24" t="s">
        <v>2489</v>
      </c>
      <c r="C24" t="s">
        <v>2789</v>
      </c>
      <c r="D24" t="s">
        <v>189</v>
      </c>
      <c r="E24" t="s">
        <v>221</v>
      </c>
      <c r="F24" t="s">
        <v>252</v>
      </c>
      <c r="G24" t="s">
        <v>256</v>
      </c>
      <c r="H24" s="1">
        <v>45519</v>
      </c>
      <c r="I24" s="2">
        <v>44118</v>
      </c>
      <c r="J24" s="2" t="s">
        <v>611</v>
      </c>
    </row>
    <row r="25" spans="1:10" x14ac:dyDescent="0.3">
      <c r="A25" t="s">
        <v>32</v>
      </c>
      <c r="B25" t="s">
        <v>2490</v>
      </c>
      <c r="C25" t="s">
        <v>2790</v>
      </c>
      <c r="D25" t="s">
        <v>189</v>
      </c>
      <c r="E25" t="s">
        <v>242</v>
      </c>
      <c r="F25" t="s">
        <v>253</v>
      </c>
      <c r="G25" t="s">
        <v>256</v>
      </c>
      <c r="H25" s="1">
        <v>43302</v>
      </c>
      <c r="I25" s="2">
        <v>44591</v>
      </c>
      <c r="J25" s="2">
        <v>43550</v>
      </c>
    </row>
    <row r="26" spans="1:10" x14ac:dyDescent="0.3">
      <c r="A26" t="s">
        <v>33</v>
      </c>
      <c r="B26" t="s">
        <v>2493</v>
      </c>
      <c r="C26" t="s">
        <v>2793</v>
      </c>
      <c r="D26" t="s">
        <v>189</v>
      </c>
      <c r="E26" t="s">
        <v>231</v>
      </c>
      <c r="F26" t="s">
        <v>253</v>
      </c>
      <c r="G26" t="s">
        <v>256</v>
      </c>
      <c r="H26" s="1">
        <v>44136</v>
      </c>
      <c r="I26" s="2">
        <v>45496</v>
      </c>
      <c r="J26" s="2" t="s">
        <v>611</v>
      </c>
    </row>
    <row r="27" spans="1:10" x14ac:dyDescent="0.3">
      <c r="A27" t="s">
        <v>34</v>
      </c>
      <c r="B27" t="s">
        <v>2495</v>
      </c>
      <c r="C27" t="s">
        <v>2795</v>
      </c>
      <c r="D27" t="s">
        <v>189</v>
      </c>
      <c r="E27" t="s">
        <v>208</v>
      </c>
      <c r="F27" t="s">
        <v>251</v>
      </c>
      <c r="G27" t="s">
        <v>256</v>
      </c>
      <c r="H27" s="1">
        <v>43309</v>
      </c>
      <c r="I27" s="2">
        <v>43823</v>
      </c>
      <c r="J27" s="2">
        <v>45685</v>
      </c>
    </row>
    <row r="28" spans="1:10" x14ac:dyDescent="0.3">
      <c r="A28" t="s">
        <v>35</v>
      </c>
      <c r="B28" t="s">
        <v>2498</v>
      </c>
      <c r="C28" t="s">
        <v>2798</v>
      </c>
      <c r="D28" t="s">
        <v>189</v>
      </c>
      <c r="E28" t="s">
        <v>244</v>
      </c>
      <c r="F28" t="s">
        <v>253</v>
      </c>
      <c r="G28" t="s">
        <v>256</v>
      </c>
      <c r="H28" s="1">
        <v>45514</v>
      </c>
      <c r="I28" s="2">
        <v>43899</v>
      </c>
      <c r="J28" s="2">
        <v>45430</v>
      </c>
    </row>
    <row r="29" spans="1:10" x14ac:dyDescent="0.3">
      <c r="A29" t="s">
        <v>36</v>
      </c>
      <c r="B29" t="s">
        <v>2500</v>
      </c>
      <c r="C29" t="s">
        <v>2800</v>
      </c>
      <c r="D29" t="s">
        <v>189</v>
      </c>
      <c r="E29" t="s">
        <v>242</v>
      </c>
      <c r="F29" t="s">
        <v>251</v>
      </c>
      <c r="G29" t="s">
        <v>257</v>
      </c>
      <c r="H29" s="1">
        <v>43626</v>
      </c>
      <c r="I29" s="2">
        <v>45758</v>
      </c>
      <c r="J29" s="2" t="s">
        <v>611</v>
      </c>
    </row>
    <row r="30" spans="1:10" x14ac:dyDescent="0.3">
      <c r="A30" t="s">
        <v>37</v>
      </c>
      <c r="B30" t="s">
        <v>2502</v>
      </c>
      <c r="C30" t="s">
        <v>2802</v>
      </c>
      <c r="D30" t="s">
        <v>189</v>
      </c>
      <c r="E30" t="s">
        <v>244</v>
      </c>
      <c r="F30" t="s">
        <v>251</v>
      </c>
      <c r="G30" t="s">
        <v>255</v>
      </c>
      <c r="H30" s="1">
        <v>45718</v>
      </c>
      <c r="I30" s="2">
        <v>45642</v>
      </c>
      <c r="J30" s="2" t="s">
        <v>611</v>
      </c>
    </row>
    <row r="31" spans="1:10" x14ac:dyDescent="0.3">
      <c r="A31" t="s">
        <v>38</v>
      </c>
      <c r="B31" t="s">
        <v>2507</v>
      </c>
      <c r="C31" t="s">
        <v>2807</v>
      </c>
      <c r="D31" t="s">
        <v>189</v>
      </c>
      <c r="E31" t="s">
        <v>236</v>
      </c>
      <c r="F31" t="s">
        <v>250</v>
      </c>
      <c r="G31" t="s">
        <v>254</v>
      </c>
      <c r="H31" s="1">
        <v>43344</v>
      </c>
      <c r="I31" s="2">
        <v>44147</v>
      </c>
      <c r="J31" s="2" t="s">
        <v>611</v>
      </c>
    </row>
    <row r="32" spans="1:10" x14ac:dyDescent="0.3">
      <c r="A32" t="s">
        <v>39</v>
      </c>
      <c r="B32" t="s">
        <v>2509</v>
      </c>
      <c r="C32" t="s">
        <v>2809</v>
      </c>
      <c r="D32" t="s">
        <v>189</v>
      </c>
      <c r="E32" t="s">
        <v>219</v>
      </c>
      <c r="F32" t="s">
        <v>253</v>
      </c>
      <c r="G32" t="s">
        <v>257</v>
      </c>
      <c r="H32" s="1">
        <v>44471</v>
      </c>
      <c r="I32" s="2">
        <v>44348</v>
      </c>
      <c r="J32" s="2" t="s">
        <v>611</v>
      </c>
    </row>
    <row r="33" spans="1:10" x14ac:dyDescent="0.3">
      <c r="A33" t="s">
        <v>40</v>
      </c>
      <c r="B33" t="s">
        <v>2510</v>
      </c>
      <c r="C33" t="s">
        <v>2810</v>
      </c>
      <c r="D33" t="s">
        <v>189</v>
      </c>
      <c r="E33" t="s">
        <v>230</v>
      </c>
      <c r="F33" t="s">
        <v>253</v>
      </c>
      <c r="G33" t="s">
        <v>255</v>
      </c>
      <c r="H33" s="1">
        <v>42899</v>
      </c>
      <c r="I33" s="2">
        <v>44279</v>
      </c>
      <c r="J33" s="2">
        <v>44700</v>
      </c>
    </row>
    <row r="34" spans="1:10" x14ac:dyDescent="0.3">
      <c r="A34" t="s">
        <v>41</v>
      </c>
      <c r="B34" t="s">
        <v>2511</v>
      </c>
      <c r="C34" t="s">
        <v>2811</v>
      </c>
      <c r="D34" t="s">
        <v>189</v>
      </c>
      <c r="E34" t="s">
        <v>231</v>
      </c>
      <c r="F34" t="s">
        <v>251</v>
      </c>
      <c r="G34" t="s">
        <v>256</v>
      </c>
      <c r="H34" s="1">
        <v>44015</v>
      </c>
      <c r="I34" s="2">
        <v>43343</v>
      </c>
      <c r="J34" s="2">
        <v>43897</v>
      </c>
    </row>
    <row r="35" spans="1:10" x14ac:dyDescent="0.3">
      <c r="A35" t="s">
        <v>42</v>
      </c>
      <c r="B35" t="s">
        <v>2519</v>
      </c>
      <c r="C35" t="s">
        <v>2819</v>
      </c>
      <c r="D35" t="s">
        <v>189</v>
      </c>
      <c r="E35" t="s">
        <v>225</v>
      </c>
      <c r="F35" t="s">
        <v>253</v>
      </c>
      <c r="G35" t="s">
        <v>256</v>
      </c>
      <c r="H35" s="1">
        <v>43746</v>
      </c>
      <c r="I35" s="2">
        <v>43955</v>
      </c>
      <c r="J35" s="2" t="s">
        <v>611</v>
      </c>
    </row>
    <row r="36" spans="1:10" x14ac:dyDescent="0.3">
      <c r="A36" t="s">
        <v>43</v>
      </c>
      <c r="B36" t="s">
        <v>2522</v>
      </c>
      <c r="C36" t="s">
        <v>2822</v>
      </c>
      <c r="D36" t="s">
        <v>189</v>
      </c>
      <c r="E36" t="s">
        <v>220</v>
      </c>
      <c r="F36" t="s">
        <v>253</v>
      </c>
      <c r="G36" t="s">
        <v>255</v>
      </c>
      <c r="H36" s="1">
        <v>45002</v>
      </c>
      <c r="I36" s="2">
        <v>43881</v>
      </c>
      <c r="J36" s="2">
        <v>43378</v>
      </c>
    </row>
    <row r="37" spans="1:10" x14ac:dyDescent="0.3">
      <c r="A37" t="s">
        <v>44</v>
      </c>
      <c r="B37" t="s">
        <v>2524</v>
      </c>
      <c r="C37" t="s">
        <v>2824</v>
      </c>
      <c r="D37" t="s">
        <v>189</v>
      </c>
      <c r="E37" t="s">
        <v>209</v>
      </c>
      <c r="F37" t="s">
        <v>250</v>
      </c>
      <c r="G37" t="s">
        <v>256</v>
      </c>
      <c r="H37" s="1">
        <v>45485</v>
      </c>
      <c r="I37" s="2">
        <v>45896</v>
      </c>
      <c r="J37" s="2" t="s">
        <v>611</v>
      </c>
    </row>
    <row r="38" spans="1:10" x14ac:dyDescent="0.3">
      <c r="A38" t="s">
        <v>45</v>
      </c>
      <c r="B38" t="s">
        <v>2526</v>
      </c>
      <c r="C38" t="s">
        <v>2826</v>
      </c>
      <c r="D38" t="s">
        <v>189</v>
      </c>
      <c r="E38" t="s">
        <v>227</v>
      </c>
      <c r="F38" t="s">
        <v>250</v>
      </c>
      <c r="G38" t="s">
        <v>255</v>
      </c>
      <c r="H38" s="1">
        <v>44789</v>
      </c>
      <c r="I38" s="2">
        <v>46211</v>
      </c>
      <c r="J38" s="2" t="s">
        <v>611</v>
      </c>
    </row>
    <row r="39" spans="1:10" x14ac:dyDescent="0.3">
      <c r="A39" t="s">
        <v>46</v>
      </c>
      <c r="B39" t="s">
        <v>2527</v>
      </c>
      <c r="C39" t="s">
        <v>2827</v>
      </c>
      <c r="D39" t="s">
        <v>189</v>
      </c>
      <c r="E39" t="s">
        <v>206</v>
      </c>
      <c r="F39" t="s">
        <v>250</v>
      </c>
      <c r="G39" t="s">
        <v>254</v>
      </c>
      <c r="H39" s="1">
        <v>46110</v>
      </c>
      <c r="I39" s="2">
        <v>45533</v>
      </c>
      <c r="J39" s="2" t="s">
        <v>611</v>
      </c>
    </row>
    <row r="40" spans="1:10" x14ac:dyDescent="0.3">
      <c r="A40" t="s">
        <v>47</v>
      </c>
      <c r="B40" t="s">
        <v>2528</v>
      </c>
      <c r="C40" t="s">
        <v>2828</v>
      </c>
      <c r="D40" t="s">
        <v>189</v>
      </c>
      <c r="E40" t="s">
        <v>237</v>
      </c>
      <c r="F40" t="s">
        <v>251</v>
      </c>
      <c r="G40" t="s">
        <v>255</v>
      </c>
      <c r="H40" s="1">
        <v>46013</v>
      </c>
      <c r="I40" s="2">
        <v>44677</v>
      </c>
      <c r="J40" s="2" t="s">
        <v>611</v>
      </c>
    </row>
    <row r="41" spans="1:10" x14ac:dyDescent="0.3">
      <c r="A41" t="s">
        <v>48</v>
      </c>
      <c r="B41" t="s">
        <v>2529</v>
      </c>
      <c r="C41" t="s">
        <v>2829</v>
      </c>
      <c r="D41" t="s">
        <v>189</v>
      </c>
      <c r="E41" t="s">
        <v>219</v>
      </c>
      <c r="F41" t="s">
        <v>252</v>
      </c>
      <c r="G41" t="s">
        <v>255</v>
      </c>
      <c r="H41" s="1">
        <v>45679</v>
      </c>
      <c r="I41" s="2">
        <v>43394</v>
      </c>
      <c r="J41" s="2" t="s">
        <v>611</v>
      </c>
    </row>
    <row r="42" spans="1:10" x14ac:dyDescent="0.3">
      <c r="A42" t="s">
        <v>49</v>
      </c>
      <c r="B42" t="s">
        <v>2532</v>
      </c>
      <c r="C42" t="s">
        <v>2832</v>
      </c>
      <c r="D42" t="s">
        <v>189</v>
      </c>
      <c r="E42" t="s">
        <v>237</v>
      </c>
      <c r="F42" t="s">
        <v>252</v>
      </c>
      <c r="G42" t="s">
        <v>256</v>
      </c>
      <c r="H42" s="1">
        <v>43794</v>
      </c>
      <c r="I42" s="2">
        <v>43387</v>
      </c>
      <c r="J42" s="2">
        <v>45101</v>
      </c>
    </row>
    <row r="43" spans="1:10" x14ac:dyDescent="0.3">
      <c r="A43" t="s">
        <v>50</v>
      </c>
      <c r="B43" t="s">
        <v>2533</v>
      </c>
      <c r="C43" t="s">
        <v>2833</v>
      </c>
      <c r="D43" t="s">
        <v>189</v>
      </c>
      <c r="E43" t="s">
        <v>237</v>
      </c>
      <c r="F43" t="s">
        <v>253</v>
      </c>
      <c r="G43" t="s">
        <v>255</v>
      </c>
      <c r="H43" s="1">
        <v>43462</v>
      </c>
      <c r="I43" s="2">
        <v>43224</v>
      </c>
      <c r="J43" s="2">
        <v>43449</v>
      </c>
    </row>
    <row r="44" spans="1:10" x14ac:dyDescent="0.3">
      <c r="A44" t="s">
        <v>51</v>
      </c>
      <c r="B44" t="s">
        <v>2560</v>
      </c>
      <c r="C44" t="s">
        <v>2860</v>
      </c>
      <c r="D44" t="s">
        <v>189</v>
      </c>
      <c r="E44" t="s">
        <v>205</v>
      </c>
      <c r="F44" t="s">
        <v>250</v>
      </c>
      <c r="G44" t="s">
        <v>256</v>
      </c>
      <c r="H44" s="1">
        <v>45679</v>
      </c>
      <c r="I44" s="2">
        <v>45475</v>
      </c>
      <c r="J44" s="2" t="s">
        <v>611</v>
      </c>
    </row>
    <row r="45" spans="1:10" x14ac:dyDescent="0.3">
      <c r="A45" t="s">
        <v>52</v>
      </c>
      <c r="B45" t="s">
        <v>2561</v>
      </c>
      <c r="C45" t="s">
        <v>2861</v>
      </c>
      <c r="D45" t="s">
        <v>189</v>
      </c>
      <c r="E45" t="s">
        <v>198</v>
      </c>
      <c r="F45" t="s">
        <v>250</v>
      </c>
      <c r="G45" t="s">
        <v>254</v>
      </c>
      <c r="H45" s="1">
        <v>43035</v>
      </c>
      <c r="I45" s="2">
        <v>43501</v>
      </c>
      <c r="J45" s="2">
        <v>45556</v>
      </c>
    </row>
    <row r="46" spans="1:10" x14ac:dyDescent="0.3">
      <c r="A46" t="s">
        <v>53</v>
      </c>
      <c r="B46" t="s">
        <v>2564</v>
      </c>
      <c r="C46" t="s">
        <v>2864</v>
      </c>
      <c r="D46" t="s">
        <v>189</v>
      </c>
      <c r="E46" t="s">
        <v>226</v>
      </c>
      <c r="F46" t="s">
        <v>252</v>
      </c>
      <c r="G46" t="s">
        <v>255</v>
      </c>
      <c r="H46" s="1">
        <v>44997</v>
      </c>
      <c r="I46" s="2">
        <v>45766</v>
      </c>
      <c r="J46" s="2">
        <v>42813</v>
      </c>
    </row>
    <row r="47" spans="1:10" x14ac:dyDescent="0.3">
      <c r="A47" t="s">
        <v>54</v>
      </c>
      <c r="B47" t="s">
        <v>2565</v>
      </c>
      <c r="C47" t="s">
        <v>2865</v>
      </c>
      <c r="D47" t="s">
        <v>189</v>
      </c>
      <c r="E47" t="s">
        <v>247</v>
      </c>
      <c r="F47" t="s">
        <v>251</v>
      </c>
      <c r="G47" t="s">
        <v>256</v>
      </c>
      <c r="H47" s="1">
        <v>42847</v>
      </c>
      <c r="I47" s="2">
        <v>43640</v>
      </c>
      <c r="J47" s="2">
        <v>42999</v>
      </c>
    </row>
    <row r="48" spans="1:10" x14ac:dyDescent="0.3">
      <c r="A48" t="s">
        <v>55</v>
      </c>
      <c r="B48" t="s">
        <v>2566</v>
      </c>
      <c r="C48" t="s">
        <v>2866</v>
      </c>
      <c r="D48" t="s">
        <v>189</v>
      </c>
      <c r="E48" t="s">
        <v>213</v>
      </c>
      <c r="F48" t="s">
        <v>252</v>
      </c>
      <c r="G48" t="s">
        <v>255</v>
      </c>
      <c r="H48" s="1">
        <v>44693</v>
      </c>
      <c r="I48" s="2">
        <v>45151</v>
      </c>
      <c r="J48" s="2" t="s">
        <v>611</v>
      </c>
    </row>
    <row r="49" spans="1:10" x14ac:dyDescent="0.3">
      <c r="A49" t="s">
        <v>56</v>
      </c>
      <c r="B49" t="s">
        <v>2567</v>
      </c>
      <c r="C49" t="s">
        <v>2867</v>
      </c>
      <c r="D49" t="s">
        <v>189</v>
      </c>
      <c r="E49" t="s">
        <v>247</v>
      </c>
      <c r="F49" t="s">
        <v>253</v>
      </c>
      <c r="G49" t="s">
        <v>256</v>
      </c>
      <c r="H49" s="1">
        <v>45571</v>
      </c>
      <c r="I49" s="2">
        <v>45612</v>
      </c>
      <c r="J49" s="2">
        <v>43771</v>
      </c>
    </row>
    <row r="50" spans="1:10" x14ac:dyDescent="0.3">
      <c r="A50" t="s">
        <v>57</v>
      </c>
      <c r="B50" t="s">
        <v>2569</v>
      </c>
      <c r="C50" t="s">
        <v>2869</v>
      </c>
      <c r="D50" t="s">
        <v>189</v>
      </c>
      <c r="E50" t="s">
        <v>201</v>
      </c>
      <c r="F50" t="s">
        <v>252</v>
      </c>
      <c r="G50" t="s">
        <v>254</v>
      </c>
      <c r="H50" s="1">
        <v>44095</v>
      </c>
      <c r="I50" s="2">
        <v>46210</v>
      </c>
      <c r="J50" s="2" t="s">
        <v>611</v>
      </c>
    </row>
    <row r="51" spans="1:10" x14ac:dyDescent="0.3">
      <c r="A51" t="s">
        <v>58</v>
      </c>
      <c r="B51" t="s">
        <v>2570</v>
      </c>
      <c r="C51" t="s">
        <v>2870</v>
      </c>
      <c r="D51" t="s">
        <v>189</v>
      </c>
      <c r="E51" t="s">
        <v>218</v>
      </c>
      <c r="F51" t="s">
        <v>250</v>
      </c>
      <c r="G51" t="s">
        <v>255</v>
      </c>
      <c r="H51" s="1">
        <v>43274</v>
      </c>
      <c r="I51" s="2">
        <v>44227</v>
      </c>
      <c r="J51" s="2">
        <v>43448</v>
      </c>
    </row>
    <row r="52" spans="1:10" x14ac:dyDescent="0.3">
      <c r="A52" t="s">
        <v>59</v>
      </c>
      <c r="B52" t="s">
        <v>2572</v>
      </c>
      <c r="C52" t="s">
        <v>2872</v>
      </c>
      <c r="D52" t="s">
        <v>189</v>
      </c>
      <c r="E52" t="s">
        <v>203</v>
      </c>
      <c r="F52" t="s">
        <v>251</v>
      </c>
      <c r="G52" t="s">
        <v>256</v>
      </c>
      <c r="H52" s="1">
        <v>45550</v>
      </c>
      <c r="I52" s="2">
        <v>45675</v>
      </c>
      <c r="J52" s="2">
        <v>44853</v>
      </c>
    </row>
    <row r="53" spans="1:10" x14ac:dyDescent="0.3">
      <c r="A53" t="s">
        <v>60</v>
      </c>
      <c r="B53" t="s">
        <v>2573</v>
      </c>
      <c r="C53" t="s">
        <v>2873</v>
      </c>
      <c r="D53" t="s">
        <v>189</v>
      </c>
      <c r="E53" t="s">
        <v>229</v>
      </c>
      <c r="F53" t="s">
        <v>251</v>
      </c>
      <c r="G53" t="s">
        <v>256</v>
      </c>
      <c r="H53" s="1">
        <v>42899</v>
      </c>
      <c r="I53" s="2">
        <v>43152</v>
      </c>
      <c r="J53" s="2" t="s">
        <v>611</v>
      </c>
    </row>
    <row r="54" spans="1:10" x14ac:dyDescent="0.3">
      <c r="A54" t="s">
        <v>61</v>
      </c>
      <c r="B54" t="s">
        <v>2575</v>
      </c>
      <c r="C54" t="s">
        <v>2875</v>
      </c>
      <c r="D54" t="s">
        <v>189</v>
      </c>
      <c r="E54" t="s">
        <v>242</v>
      </c>
      <c r="F54" t="s">
        <v>251</v>
      </c>
      <c r="G54" t="s">
        <v>255</v>
      </c>
      <c r="H54" s="1">
        <v>46211</v>
      </c>
      <c r="I54" s="2">
        <v>44496</v>
      </c>
      <c r="J54" s="2" t="s">
        <v>611</v>
      </c>
    </row>
    <row r="55" spans="1:10" x14ac:dyDescent="0.3">
      <c r="A55" t="s">
        <v>62</v>
      </c>
      <c r="B55" t="s">
        <v>2576</v>
      </c>
      <c r="C55" t="s">
        <v>2876</v>
      </c>
      <c r="D55" t="s">
        <v>189</v>
      </c>
      <c r="E55" t="s">
        <v>236</v>
      </c>
      <c r="F55" t="s">
        <v>252</v>
      </c>
      <c r="G55" t="s">
        <v>255</v>
      </c>
      <c r="H55" s="1">
        <v>45132</v>
      </c>
      <c r="I55" s="2">
        <v>43979</v>
      </c>
      <c r="J55" s="2" t="s">
        <v>611</v>
      </c>
    </row>
    <row r="56" spans="1:10" x14ac:dyDescent="0.3">
      <c r="A56" t="s">
        <v>63</v>
      </c>
      <c r="B56" t="s">
        <v>2577</v>
      </c>
      <c r="C56" t="s">
        <v>2877</v>
      </c>
      <c r="D56" t="s">
        <v>189</v>
      </c>
      <c r="E56" t="s">
        <v>230</v>
      </c>
      <c r="F56" t="s">
        <v>250</v>
      </c>
      <c r="G56" t="s">
        <v>257</v>
      </c>
      <c r="H56" s="1">
        <v>42592</v>
      </c>
      <c r="I56" s="2">
        <v>42814</v>
      </c>
      <c r="J56" s="2">
        <v>45041</v>
      </c>
    </row>
    <row r="57" spans="1:10" x14ac:dyDescent="0.3">
      <c r="A57" t="s">
        <v>64</v>
      </c>
      <c r="B57" t="s">
        <v>2580</v>
      </c>
      <c r="C57" t="s">
        <v>2880</v>
      </c>
      <c r="D57" t="s">
        <v>189</v>
      </c>
      <c r="E57" t="s">
        <v>208</v>
      </c>
      <c r="F57" t="s">
        <v>251</v>
      </c>
      <c r="G57" t="s">
        <v>257</v>
      </c>
      <c r="H57" s="1">
        <v>44740</v>
      </c>
      <c r="I57" s="2">
        <v>45038</v>
      </c>
      <c r="J57" s="2">
        <v>43268</v>
      </c>
    </row>
    <row r="58" spans="1:10" x14ac:dyDescent="0.3">
      <c r="A58" t="s">
        <v>65</v>
      </c>
      <c r="B58" t="s">
        <v>2582</v>
      </c>
      <c r="C58" t="s">
        <v>2882</v>
      </c>
      <c r="D58" t="s">
        <v>189</v>
      </c>
      <c r="E58" t="s">
        <v>191</v>
      </c>
      <c r="F58" t="s">
        <v>250</v>
      </c>
      <c r="G58" t="s">
        <v>256</v>
      </c>
      <c r="H58" s="1">
        <v>43703</v>
      </c>
      <c r="I58" s="2">
        <v>44278</v>
      </c>
      <c r="J58" s="2">
        <v>42962</v>
      </c>
    </row>
    <row r="59" spans="1:10" x14ac:dyDescent="0.3">
      <c r="A59" t="s">
        <v>66</v>
      </c>
      <c r="B59" t="s">
        <v>2584</v>
      </c>
      <c r="C59" t="s">
        <v>2884</v>
      </c>
      <c r="D59" t="s">
        <v>189</v>
      </c>
      <c r="E59" t="s">
        <v>193</v>
      </c>
      <c r="F59" t="s">
        <v>253</v>
      </c>
      <c r="G59" t="s">
        <v>257</v>
      </c>
      <c r="H59" s="1">
        <v>42871</v>
      </c>
      <c r="I59" s="2">
        <v>45736</v>
      </c>
      <c r="J59" s="2" t="s">
        <v>611</v>
      </c>
    </row>
    <row r="60" spans="1:10" x14ac:dyDescent="0.3">
      <c r="A60" t="s">
        <v>67</v>
      </c>
      <c r="B60" t="s">
        <v>2585</v>
      </c>
      <c r="C60" t="s">
        <v>2885</v>
      </c>
      <c r="D60" t="s">
        <v>189</v>
      </c>
      <c r="E60" t="s">
        <v>198</v>
      </c>
      <c r="F60" t="s">
        <v>252</v>
      </c>
      <c r="G60" t="s">
        <v>254</v>
      </c>
      <c r="H60" s="1">
        <v>43061</v>
      </c>
      <c r="I60" s="2">
        <v>45632</v>
      </c>
      <c r="J60" s="2" t="s">
        <v>611</v>
      </c>
    </row>
    <row r="61" spans="1:10" x14ac:dyDescent="0.3">
      <c r="A61" t="s">
        <v>68</v>
      </c>
      <c r="B61" t="s">
        <v>2586</v>
      </c>
      <c r="C61" t="s">
        <v>2886</v>
      </c>
      <c r="D61" t="s">
        <v>189</v>
      </c>
      <c r="E61" t="s">
        <v>242</v>
      </c>
      <c r="F61" t="s">
        <v>252</v>
      </c>
      <c r="G61" t="s">
        <v>257</v>
      </c>
      <c r="H61" s="1">
        <v>45183</v>
      </c>
      <c r="I61" s="2">
        <v>43486</v>
      </c>
      <c r="J61" s="2" t="s">
        <v>611</v>
      </c>
    </row>
    <row r="62" spans="1:10" x14ac:dyDescent="0.3">
      <c r="A62" t="s">
        <v>69</v>
      </c>
      <c r="B62" t="s">
        <v>2587</v>
      </c>
      <c r="C62" t="s">
        <v>2887</v>
      </c>
      <c r="D62" t="s">
        <v>189</v>
      </c>
      <c r="E62" t="s">
        <v>197</v>
      </c>
      <c r="F62" t="s">
        <v>252</v>
      </c>
      <c r="G62" t="s">
        <v>254</v>
      </c>
      <c r="H62" s="1">
        <v>44761</v>
      </c>
      <c r="I62" s="2">
        <v>44819</v>
      </c>
      <c r="J62" s="2">
        <v>43611</v>
      </c>
    </row>
    <row r="63" spans="1:10" x14ac:dyDescent="0.3">
      <c r="A63" t="s">
        <v>70</v>
      </c>
      <c r="B63" t="s">
        <v>2589</v>
      </c>
      <c r="C63" t="s">
        <v>2889</v>
      </c>
      <c r="D63" t="s">
        <v>189</v>
      </c>
      <c r="E63" t="s">
        <v>230</v>
      </c>
      <c r="F63" t="s">
        <v>250</v>
      </c>
      <c r="G63" t="s">
        <v>256</v>
      </c>
      <c r="H63" s="1">
        <v>43213</v>
      </c>
      <c r="I63" s="2">
        <v>45567</v>
      </c>
      <c r="J63" s="2">
        <v>44158</v>
      </c>
    </row>
    <row r="64" spans="1:10" x14ac:dyDescent="0.3">
      <c r="A64" t="s">
        <v>71</v>
      </c>
      <c r="B64" t="s">
        <v>2590</v>
      </c>
      <c r="C64" t="s">
        <v>2890</v>
      </c>
      <c r="D64" t="s">
        <v>189</v>
      </c>
      <c r="E64" t="s">
        <v>213</v>
      </c>
      <c r="F64" t="s">
        <v>253</v>
      </c>
      <c r="G64" t="s">
        <v>254</v>
      </c>
      <c r="H64" s="1">
        <v>43428</v>
      </c>
      <c r="I64" s="2">
        <v>42608</v>
      </c>
      <c r="J64" s="2">
        <v>43829</v>
      </c>
    </row>
    <row r="65" spans="1:10" x14ac:dyDescent="0.3">
      <c r="A65" t="s">
        <v>72</v>
      </c>
      <c r="B65" t="s">
        <v>2593</v>
      </c>
      <c r="C65" t="s">
        <v>2893</v>
      </c>
      <c r="D65" t="s">
        <v>189</v>
      </c>
      <c r="E65" t="s">
        <v>231</v>
      </c>
      <c r="F65" t="s">
        <v>250</v>
      </c>
      <c r="G65" t="s">
        <v>254</v>
      </c>
      <c r="H65" s="1">
        <v>44129</v>
      </c>
      <c r="I65" s="2">
        <v>42822</v>
      </c>
      <c r="J65" s="2">
        <v>45886</v>
      </c>
    </row>
    <row r="66" spans="1:10" x14ac:dyDescent="0.3">
      <c r="A66" t="s">
        <v>73</v>
      </c>
      <c r="B66" t="s">
        <v>2594</v>
      </c>
      <c r="C66" t="s">
        <v>2894</v>
      </c>
      <c r="D66" t="s">
        <v>189</v>
      </c>
      <c r="E66" t="s">
        <v>249</v>
      </c>
      <c r="F66" t="s">
        <v>252</v>
      </c>
      <c r="G66" t="s">
        <v>256</v>
      </c>
      <c r="H66" s="1">
        <v>43790</v>
      </c>
      <c r="I66" s="2">
        <v>45432</v>
      </c>
      <c r="J66" s="2">
        <v>44866</v>
      </c>
    </row>
    <row r="67" spans="1:10" x14ac:dyDescent="0.3">
      <c r="A67" t="s">
        <v>74</v>
      </c>
      <c r="B67" t="s">
        <v>2595</v>
      </c>
      <c r="C67" t="s">
        <v>2895</v>
      </c>
      <c r="D67" t="s">
        <v>189</v>
      </c>
      <c r="E67" t="s">
        <v>202</v>
      </c>
      <c r="F67" t="s">
        <v>252</v>
      </c>
      <c r="G67" t="s">
        <v>254</v>
      </c>
      <c r="H67" s="1">
        <v>44222</v>
      </c>
      <c r="I67" s="2">
        <v>44358</v>
      </c>
      <c r="J67" s="2">
        <v>42949</v>
      </c>
    </row>
    <row r="68" spans="1:10" x14ac:dyDescent="0.3">
      <c r="A68" t="s">
        <v>75</v>
      </c>
      <c r="B68" t="s">
        <v>2597</v>
      </c>
      <c r="C68" t="s">
        <v>2897</v>
      </c>
      <c r="D68" t="s">
        <v>189</v>
      </c>
      <c r="E68" t="s">
        <v>216</v>
      </c>
      <c r="F68" t="s">
        <v>250</v>
      </c>
      <c r="G68" t="s">
        <v>254</v>
      </c>
      <c r="H68" s="1">
        <v>46223</v>
      </c>
      <c r="I68" s="2">
        <v>44513</v>
      </c>
      <c r="J68" s="2">
        <v>44005</v>
      </c>
    </row>
    <row r="69" spans="1:10" x14ac:dyDescent="0.3">
      <c r="A69" t="s">
        <v>76</v>
      </c>
      <c r="B69" t="s">
        <v>2598</v>
      </c>
      <c r="C69" t="s">
        <v>2898</v>
      </c>
      <c r="D69" t="s">
        <v>189</v>
      </c>
      <c r="E69" t="s">
        <v>202</v>
      </c>
      <c r="F69" t="s">
        <v>253</v>
      </c>
      <c r="G69" t="s">
        <v>255</v>
      </c>
      <c r="H69" s="1">
        <v>45709</v>
      </c>
      <c r="I69" s="2">
        <v>44406</v>
      </c>
      <c r="J69" s="2" t="s">
        <v>611</v>
      </c>
    </row>
    <row r="70" spans="1:10" x14ac:dyDescent="0.3">
      <c r="A70" t="s">
        <v>77</v>
      </c>
      <c r="B70" t="s">
        <v>2599</v>
      </c>
      <c r="C70" t="s">
        <v>2899</v>
      </c>
      <c r="D70" t="s">
        <v>189</v>
      </c>
      <c r="E70" t="s">
        <v>235</v>
      </c>
      <c r="F70" t="s">
        <v>252</v>
      </c>
      <c r="G70" t="s">
        <v>255</v>
      </c>
      <c r="H70" s="1">
        <v>45008</v>
      </c>
      <c r="I70" s="2">
        <v>45292</v>
      </c>
      <c r="J70" s="2" t="s">
        <v>611</v>
      </c>
    </row>
    <row r="71" spans="1:10" x14ac:dyDescent="0.3">
      <c r="A71" t="s">
        <v>78</v>
      </c>
      <c r="B71" t="s">
        <v>2600</v>
      </c>
      <c r="C71" t="s">
        <v>2900</v>
      </c>
      <c r="D71" t="s">
        <v>189</v>
      </c>
      <c r="E71" t="s">
        <v>235</v>
      </c>
      <c r="F71" t="s">
        <v>250</v>
      </c>
      <c r="G71" t="s">
        <v>255</v>
      </c>
      <c r="H71" s="1">
        <v>43557</v>
      </c>
      <c r="I71" s="2">
        <v>43511</v>
      </c>
      <c r="J71" s="2">
        <v>44756</v>
      </c>
    </row>
    <row r="72" spans="1:10" x14ac:dyDescent="0.3">
      <c r="A72" t="s">
        <v>79</v>
      </c>
      <c r="B72" t="s">
        <v>2602</v>
      </c>
      <c r="C72" t="s">
        <v>2902</v>
      </c>
      <c r="D72" t="s">
        <v>189</v>
      </c>
      <c r="E72" t="s">
        <v>235</v>
      </c>
      <c r="F72" t="s">
        <v>253</v>
      </c>
      <c r="G72" t="s">
        <v>254</v>
      </c>
      <c r="H72" s="1">
        <v>43186</v>
      </c>
      <c r="I72" s="2">
        <v>44515</v>
      </c>
      <c r="J72" s="2" t="s">
        <v>611</v>
      </c>
    </row>
    <row r="73" spans="1:10" x14ac:dyDescent="0.3">
      <c r="A73" t="s">
        <v>80</v>
      </c>
      <c r="B73" t="s">
        <v>2603</v>
      </c>
      <c r="C73" t="s">
        <v>2903</v>
      </c>
      <c r="D73" t="s">
        <v>189</v>
      </c>
      <c r="E73" t="s">
        <v>230</v>
      </c>
      <c r="F73" t="s">
        <v>252</v>
      </c>
      <c r="G73" t="s">
        <v>254</v>
      </c>
      <c r="H73" s="1">
        <v>43739</v>
      </c>
      <c r="I73" s="2">
        <v>43467</v>
      </c>
      <c r="J73" s="2">
        <v>45674</v>
      </c>
    </row>
    <row r="74" spans="1:10" x14ac:dyDescent="0.3">
      <c r="A74" t="s">
        <v>81</v>
      </c>
      <c r="B74" t="s">
        <v>2606</v>
      </c>
      <c r="C74" t="s">
        <v>2906</v>
      </c>
      <c r="D74" t="s">
        <v>189</v>
      </c>
      <c r="E74" t="s">
        <v>232</v>
      </c>
      <c r="F74" t="s">
        <v>252</v>
      </c>
      <c r="G74" t="s">
        <v>257</v>
      </c>
      <c r="H74" s="1">
        <v>45662</v>
      </c>
      <c r="I74" s="2">
        <v>45051</v>
      </c>
      <c r="J74" s="2">
        <v>43570</v>
      </c>
    </row>
    <row r="75" spans="1:10" x14ac:dyDescent="0.3">
      <c r="A75" t="s">
        <v>82</v>
      </c>
      <c r="B75" t="s">
        <v>2613</v>
      </c>
      <c r="C75" t="s">
        <v>2913</v>
      </c>
      <c r="D75" t="s">
        <v>189</v>
      </c>
      <c r="E75" t="s">
        <v>233</v>
      </c>
      <c r="F75" t="s">
        <v>253</v>
      </c>
      <c r="G75" t="s">
        <v>254</v>
      </c>
      <c r="H75" s="1">
        <v>45593</v>
      </c>
      <c r="I75" s="2">
        <v>45274</v>
      </c>
      <c r="J75" s="2">
        <v>42741</v>
      </c>
    </row>
    <row r="76" spans="1:10" x14ac:dyDescent="0.3">
      <c r="A76" t="s">
        <v>83</v>
      </c>
      <c r="B76" t="s">
        <v>2614</v>
      </c>
      <c r="C76" t="s">
        <v>2914</v>
      </c>
      <c r="D76" t="s">
        <v>189</v>
      </c>
      <c r="E76" t="s">
        <v>191</v>
      </c>
      <c r="F76" t="s">
        <v>250</v>
      </c>
      <c r="G76" t="s">
        <v>257</v>
      </c>
      <c r="H76" s="1">
        <v>42738</v>
      </c>
      <c r="I76" s="2">
        <v>44005</v>
      </c>
      <c r="J76" s="2">
        <v>44157</v>
      </c>
    </row>
    <row r="77" spans="1:10" x14ac:dyDescent="0.3">
      <c r="A77" t="s">
        <v>84</v>
      </c>
      <c r="B77" t="s">
        <v>2615</v>
      </c>
      <c r="C77" t="s">
        <v>2915</v>
      </c>
      <c r="D77" t="s">
        <v>189</v>
      </c>
      <c r="E77" t="s">
        <v>219</v>
      </c>
      <c r="F77" t="s">
        <v>250</v>
      </c>
      <c r="G77" t="s">
        <v>254</v>
      </c>
      <c r="H77" s="1">
        <v>45835</v>
      </c>
      <c r="I77" s="2">
        <v>45985</v>
      </c>
      <c r="J77" s="2" t="s">
        <v>611</v>
      </c>
    </row>
    <row r="78" spans="1:10" x14ac:dyDescent="0.3">
      <c r="A78" t="s">
        <v>85</v>
      </c>
      <c r="B78" t="s">
        <v>2617</v>
      </c>
      <c r="C78" t="s">
        <v>2917</v>
      </c>
      <c r="D78" t="s">
        <v>189</v>
      </c>
      <c r="E78" t="s">
        <v>191</v>
      </c>
      <c r="F78" t="s">
        <v>253</v>
      </c>
      <c r="G78" t="s">
        <v>255</v>
      </c>
      <c r="H78" s="1">
        <v>43393</v>
      </c>
      <c r="I78" s="2">
        <v>42679</v>
      </c>
      <c r="J78" s="2" t="s">
        <v>611</v>
      </c>
    </row>
    <row r="79" spans="1:10" x14ac:dyDescent="0.3">
      <c r="A79" t="s">
        <v>86</v>
      </c>
      <c r="B79" t="s">
        <v>2661</v>
      </c>
      <c r="C79" t="s">
        <v>2961</v>
      </c>
      <c r="D79" t="s">
        <v>189</v>
      </c>
      <c r="E79" t="s">
        <v>204</v>
      </c>
      <c r="F79" t="s">
        <v>250</v>
      </c>
      <c r="G79" t="s">
        <v>256</v>
      </c>
      <c r="H79" s="1">
        <v>45868</v>
      </c>
      <c r="I79" s="2">
        <v>43268</v>
      </c>
      <c r="J79" s="2" t="s">
        <v>611</v>
      </c>
    </row>
    <row r="80" spans="1:10" x14ac:dyDescent="0.3">
      <c r="A80" t="s">
        <v>87</v>
      </c>
      <c r="B80" t="s">
        <v>2662</v>
      </c>
      <c r="C80" t="s">
        <v>2962</v>
      </c>
      <c r="D80" t="s">
        <v>189</v>
      </c>
      <c r="E80" t="s">
        <v>229</v>
      </c>
      <c r="F80" t="s">
        <v>252</v>
      </c>
      <c r="G80" t="s">
        <v>256</v>
      </c>
      <c r="H80" s="1">
        <v>43892</v>
      </c>
      <c r="I80" s="2">
        <v>44742</v>
      </c>
      <c r="J80" s="2" t="s">
        <v>611</v>
      </c>
    </row>
    <row r="81" spans="1:10" x14ac:dyDescent="0.3">
      <c r="A81" t="s">
        <v>88</v>
      </c>
      <c r="B81" t="s">
        <v>2663</v>
      </c>
      <c r="C81" t="s">
        <v>2963</v>
      </c>
      <c r="D81" t="s">
        <v>189</v>
      </c>
      <c r="E81" t="s">
        <v>229</v>
      </c>
      <c r="F81" t="s">
        <v>253</v>
      </c>
      <c r="G81" t="s">
        <v>255</v>
      </c>
      <c r="H81" s="1">
        <v>43775</v>
      </c>
      <c r="I81" s="2">
        <v>42587</v>
      </c>
      <c r="J81" s="2" t="s">
        <v>611</v>
      </c>
    </row>
    <row r="82" spans="1:10" x14ac:dyDescent="0.3">
      <c r="A82" t="s">
        <v>89</v>
      </c>
      <c r="B82" t="s">
        <v>2664</v>
      </c>
      <c r="C82" t="s">
        <v>2964</v>
      </c>
      <c r="D82" t="s">
        <v>189</v>
      </c>
      <c r="E82" t="s">
        <v>204</v>
      </c>
      <c r="F82" t="s">
        <v>250</v>
      </c>
      <c r="G82" t="s">
        <v>254</v>
      </c>
      <c r="H82" s="1">
        <v>42633</v>
      </c>
      <c r="I82" s="2">
        <v>44245</v>
      </c>
      <c r="J82" s="2" t="s">
        <v>611</v>
      </c>
    </row>
    <row r="83" spans="1:10" x14ac:dyDescent="0.3">
      <c r="A83" t="s">
        <v>90</v>
      </c>
      <c r="B83" t="s">
        <v>2665</v>
      </c>
      <c r="C83" t="s">
        <v>2965</v>
      </c>
      <c r="D83" t="s">
        <v>189</v>
      </c>
      <c r="E83" t="s">
        <v>190</v>
      </c>
      <c r="F83" t="s">
        <v>250</v>
      </c>
      <c r="G83" t="s">
        <v>257</v>
      </c>
      <c r="H83" s="1">
        <v>45951</v>
      </c>
      <c r="I83" s="2">
        <v>42988</v>
      </c>
      <c r="J83" s="2">
        <v>43001</v>
      </c>
    </row>
    <row r="84" spans="1:10" x14ac:dyDescent="0.3">
      <c r="A84" t="s">
        <v>91</v>
      </c>
      <c r="B84" t="s">
        <v>2667</v>
      </c>
      <c r="C84" t="s">
        <v>2967</v>
      </c>
      <c r="D84" t="s">
        <v>189</v>
      </c>
      <c r="E84" t="s">
        <v>210</v>
      </c>
      <c r="F84" t="s">
        <v>251</v>
      </c>
      <c r="G84" t="s">
        <v>256</v>
      </c>
      <c r="H84" s="1">
        <v>46151</v>
      </c>
      <c r="I84" s="2">
        <v>46025</v>
      </c>
      <c r="J84" s="2">
        <v>43953</v>
      </c>
    </row>
    <row r="85" spans="1:10" x14ac:dyDescent="0.3">
      <c r="A85" t="s">
        <v>92</v>
      </c>
      <c r="B85" t="s">
        <v>2668</v>
      </c>
      <c r="C85" t="s">
        <v>2968</v>
      </c>
      <c r="D85" t="s">
        <v>189</v>
      </c>
      <c r="E85" t="s">
        <v>224</v>
      </c>
      <c r="F85" t="s">
        <v>250</v>
      </c>
      <c r="G85" t="s">
        <v>254</v>
      </c>
      <c r="H85" s="1">
        <v>44593</v>
      </c>
      <c r="I85" s="2">
        <v>44901</v>
      </c>
      <c r="J85" s="2" t="s">
        <v>611</v>
      </c>
    </row>
    <row r="86" spans="1:10" x14ac:dyDescent="0.3">
      <c r="A86" t="s">
        <v>93</v>
      </c>
      <c r="B86" t="s">
        <v>2670</v>
      </c>
      <c r="C86" t="s">
        <v>2970</v>
      </c>
      <c r="D86" t="s">
        <v>189</v>
      </c>
      <c r="E86" t="s">
        <v>206</v>
      </c>
      <c r="F86" t="s">
        <v>250</v>
      </c>
      <c r="G86" t="s">
        <v>254</v>
      </c>
      <c r="H86" s="1">
        <v>43657</v>
      </c>
      <c r="I86" s="2">
        <v>44930</v>
      </c>
      <c r="J86" s="2" t="s">
        <v>611</v>
      </c>
    </row>
    <row r="87" spans="1:10" x14ac:dyDescent="0.3">
      <c r="A87" t="s">
        <v>94</v>
      </c>
      <c r="B87" t="s">
        <v>2673</v>
      </c>
      <c r="C87" t="s">
        <v>2973</v>
      </c>
      <c r="D87" t="s">
        <v>189</v>
      </c>
      <c r="E87" t="s">
        <v>241</v>
      </c>
      <c r="F87" t="s">
        <v>252</v>
      </c>
      <c r="G87" t="s">
        <v>254</v>
      </c>
      <c r="H87" s="1">
        <v>45232</v>
      </c>
      <c r="I87" s="2">
        <v>43636</v>
      </c>
      <c r="J87" s="2" t="s">
        <v>611</v>
      </c>
    </row>
    <row r="88" spans="1:10" x14ac:dyDescent="0.3">
      <c r="A88" t="s">
        <v>95</v>
      </c>
      <c r="B88" t="s">
        <v>2675</v>
      </c>
      <c r="C88" t="s">
        <v>2975</v>
      </c>
      <c r="D88" t="s">
        <v>189</v>
      </c>
      <c r="E88" t="s">
        <v>224</v>
      </c>
      <c r="F88" t="s">
        <v>250</v>
      </c>
      <c r="G88" t="s">
        <v>257</v>
      </c>
      <c r="H88" s="1">
        <v>43145</v>
      </c>
      <c r="I88" s="2">
        <v>43723</v>
      </c>
      <c r="J88" s="2" t="s">
        <v>611</v>
      </c>
    </row>
    <row r="89" spans="1:10" x14ac:dyDescent="0.3">
      <c r="A89" t="s">
        <v>96</v>
      </c>
      <c r="B89" t="s">
        <v>2679</v>
      </c>
      <c r="C89" t="s">
        <v>2979</v>
      </c>
      <c r="D89" t="s">
        <v>189</v>
      </c>
      <c r="E89" t="s">
        <v>205</v>
      </c>
      <c r="F89" t="s">
        <v>253</v>
      </c>
      <c r="G89" t="s">
        <v>255</v>
      </c>
      <c r="H89" s="1">
        <v>43063</v>
      </c>
      <c r="I89" s="2">
        <v>42879</v>
      </c>
      <c r="J89" s="2">
        <v>43156</v>
      </c>
    </row>
    <row r="90" spans="1:10" x14ac:dyDescent="0.3">
      <c r="A90" t="s">
        <v>97</v>
      </c>
      <c r="B90" t="s">
        <v>689</v>
      </c>
      <c r="C90" t="s">
        <v>1039</v>
      </c>
      <c r="D90" t="s">
        <v>188</v>
      </c>
      <c r="E90" t="s">
        <v>197</v>
      </c>
      <c r="F90" t="s">
        <v>253</v>
      </c>
      <c r="G90" t="s">
        <v>254</v>
      </c>
      <c r="H90" s="1">
        <v>43729</v>
      </c>
      <c r="I90" s="2">
        <v>46207</v>
      </c>
      <c r="J90" s="2" t="s">
        <v>611</v>
      </c>
    </row>
    <row r="91" spans="1:10" x14ac:dyDescent="0.3">
      <c r="A91" t="s">
        <v>98</v>
      </c>
      <c r="B91" t="s">
        <v>711</v>
      </c>
      <c r="C91" t="s">
        <v>1061</v>
      </c>
      <c r="D91" t="s">
        <v>188</v>
      </c>
      <c r="E91" t="s">
        <v>238</v>
      </c>
      <c r="F91" t="s">
        <v>252</v>
      </c>
      <c r="G91" t="s">
        <v>256</v>
      </c>
      <c r="H91" s="1">
        <v>42699</v>
      </c>
      <c r="I91" s="2">
        <v>42760</v>
      </c>
      <c r="J91" s="2" t="s">
        <v>611</v>
      </c>
    </row>
    <row r="92" spans="1:10" x14ac:dyDescent="0.3">
      <c r="A92" t="s">
        <v>99</v>
      </c>
      <c r="B92" t="s">
        <v>712</v>
      </c>
      <c r="C92" t="s">
        <v>1062</v>
      </c>
      <c r="D92" t="s">
        <v>188</v>
      </c>
      <c r="E92" t="s">
        <v>206</v>
      </c>
      <c r="F92" t="s">
        <v>250</v>
      </c>
      <c r="G92" t="s">
        <v>254</v>
      </c>
      <c r="H92" s="1">
        <v>42910</v>
      </c>
      <c r="I92" s="2">
        <v>43561</v>
      </c>
      <c r="J92" s="2">
        <v>45751</v>
      </c>
    </row>
    <row r="93" spans="1:10" x14ac:dyDescent="0.3">
      <c r="A93" t="s">
        <v>100</v>
      </c>
      <c r="B93" t="s">
        <v>713</v>
      </c>
      <c r="C93" t="s">
        <v>1063</v>
      </c>
      <c r="D93" t="s">
        <v>188</v>
      </c>
      <c r="E93" t="s">
        <v>246</v>
      </c>
      <c r="F93" t="s">
        <v>251</v>
      </c>
      <c r="G93" t="s">
        <v>254</v>
      </c>
      <c r="H93" s="1">
        <v>43832</v>
      </c>
      <c r="I93" s="2">
        <v>43126</v>
      </c>
      <c r="J93" s="2" t="s">
        <v>611</v>
      </c>
    </row>
    <row r="94" spans="1:10" x14ac:dyDescent="0.3">
      <c r="A94" t="s">
        <v>101</v>
      </c>
      <c r="B94" t="s">
        <v>714</v>
      </c>
      <c r="C94" t="s">
        <v>1064</v>
      </c>
      <c r="D94" t="s">
        <v>188</v>
      </c>
      <c r="E94" t="s">
        <v>196</v>
      </c>
      <c r="F94" t="s">
        <v>250</v>
      </c>
      <c r="G94" t="s">
        <v>257</v>
      </c>
      <c r="H94" s="1">
        <v>44491</v>
      </c>
      <c r="I94" s="2">
        <v>43058</v>
      </c>
      <c r="J94" s="2">
        <v>46061</v>
      </c>
    </row>
    <row r="95" spans="1:10" x14ac:dyDescent="0.3">
      <c r="A95" t="s">
        <v>102</v>
      </c>
      <c r="B95" t="s">
        <v>717</v>
      </c>
      <c r="C95" t="s">
        <v>1067</v>
      </c>
      <c r="D95" t="s">
        <v>188</v>
      </c>
      <c r="E95" t="s">
        <v>193</v>
      </c>
      <c r="F95" t="s">
        <v>250</v>
      </c>
      <c r="G95" t="s">
        <v>256</v>
      </c>
      <c r="H95" s="1">
        <v>43505</v>
      </c>
      <c r="I95" s="2">
        <v>43726</v>
      </c>
      <c r="J95" s="2" t="s">
        <v>611</v>
      </c>
    </row>
    <row r="96" spans="1:10" x14ac:dyDescent="0.3">
      <c r="A96" t="s">
        <v>103</v>
      </c>
      <c r="B96" t="s">
        <v>720</v>
      </c>
      <c r="C96" t="s">
        <v>1070</v>
      </c>
      <c r="D96" t="s">
        <v>188</v>
      </c>
      <c r="E96" t="s">
        <v>243</v>
      </c>
      <c r="F96" t="s">
        <v>251</v>
      </c>
      <c r="G96" t="s">
        <v>254</v>
      </c>
      <c r="H96" s="1">
        <v>44527</v>
      </c>
      <c r="I96" s="2">
        <v>45552</v>
      </c>
      <c r="J96" s="2" t="s">
        <v>611</v>
      </c>
    </row>
    <row r="97" spans="1:10" x14ac:dyDescent="0.3">
      <c r="A97" t="s">
        <v>104</v>
      </c>
      <c r="B97" t="s">
        <v>721</v>
      </c>
      <c r="C97" t="s">
        <v>1071</v>
      </c>
      <c r="D97" t="s">
        <v>188</v>
      </c>
      <c r="E97" t="s">
        <v>242</v>
      </c>
      <c r="F97" t="s">
        <v>250</v>
      </c>
      <c r="G97" t="s">
        <v>256</v>
      </c>
      <c r="H97" s="1">
        <v>45353</v>
      </c>
      <c r="I97" s="2">
        <v>43722</v>
      </c>
      <c r="J97" s="2">
        <v>45680</v>
      </c>
    </row>
    <row r="98" spans="1:10" x14ac:dyDescent="0.3">
      <c r="A98" t="s">
        <v>105</v>
      </c>
      <c r="B98" t="s">
        <v>726</v>
      </c>
      <c r="C98" t="s">
        <v>1076</v>
      </c>
      <c r="D98" t="s">
        <v>188</v>
      </c>
      <c r="E98" t="s">
        <v>217</v>
      </c>
      <c r="F98" t="s">
        <v>253</v>
      </c>
      <c r="G98" t="s">
        <v>254</v>
      </c>
      <c r="H98" s="1">
        <v>44045</v>
      </c>
      <c r="I98" s="2">
        <v>45911</v>
      </c>
      <c r="J98" s="2">
        <v>46042</v>
      </c>
    </row>
    <row r="99" spans="1:10" x14ac:dyDescent="0.3">
      <c r="A99" t="s">
        <v>106</v>
      </c>
      <c r="B99" t="s">
        <v>728</v>
      </c>
      <c r="C99" t="s">
        <v>1078</v>
      </c>
      <c r="D99" t="s">
        <v>188</v>
      </c>
      <c r="E99" t="s">
        <v>209</v>
      </c>
      <c r="F99" t="s">
        <v>251</v>
      </c>
      <c r="G99" t="s">
        <v>256</v>
      </c>
      <c r="H99" s="1">
        <v>45872</v>
      </c>
      <c r="I99" s="2">
        <v>42806</v>
      </c>
      <c r="J99" s="2">
        <v>45506</v>
      </c>
    </row>
    <row r="100" spans="1:10" x14ac:dyDescent="0.3">
      <c r="A100" t="s">
        <v>107</v>
      </c>
      <c r="B100" t="s">
        <v>731</v>
      </c>
      <c r="C100" t="s">
        <v>1081</v>
      </c>
      <c r="D100" t="s">
        <v>188</v>
      </c>
      <c r="E100" t="s">
        <v>226</v>
      </c>
      <c r="F100" t="s">
        <v>250</v>
      </c>
      <c r="G100" t="s">
        <v>256</v>
      </c>
      <c r="H100" s="1">
        <v>43415</v>
      </c>
      <c r="I100" s="2">
        <v>45361</v>
      </c>
      <c r="J100" s="2">
        <v>43881</v>
      </c>
    </row>
    <row r="101" spans="1:10" x14ac:dyDescent="0.3">
      <c r="A101" t="s">
        <v>108</v>
      </c>
      <c r="B101" t="s">
        <v>770</v>
      </c>
      <c r="C101" t="s">
        <v>1120</v>
      </c>
      <c r="D101" t="s">
        <v>188</v>
      </c>
      <c r="E101" t="s">
        <v>215</v>
      </c>
      <c r="F101" t="s">
        <v>251</v>
      </c>
      <c r="G101" t="s">
        <v>256</v>
      </c>
      <c r="H101" s="1">
        <v>44128</v>
      </c>
      <c r="I101" s="2">
        <v>45590</v>
      </c>
      <c r="J101" s="2">
        <v>45558</v>
      </c>
    </row>
    <row r="102" spans="1:10" x14ac:dyDescent="0.3">
      <c r="A102" t="s">
        <v>109</v>
      </c>
      <c r="B102" t="s">
        <v>774</v>
      </c>
      <c r="C102" t="s">
        <v>1124</v>
      </c>
      <c r="D102" t="s">
        <v>188</v>
      </c>
      <c r="E102" t="s">
        <v>192</v>
      </c>
      <c r="F102" t="s">
        <v>252</v>
      </c>
      <c r="G102" t="s">
        <v>256</v>
      </c>
      <c r="H102" s="1">
        <v>45600</v>
      </c>
      <c r="I102" s="2">
        <v>42788</v>
      </c>
      <c r="J102" s="2" t="s">
        <v>611</v>
      </c>
    </row>
    <row r="103" spans="1:10" x14ac:dyDescent="0.3">
      <c r="A103" t="s">
        <v>110</v>
      </c>
      <c r="B103" t="s">
        <v>779</v>
      </c>
      <c r="C103" t="s">
        <v>1129</v>
      </c>
      <c r="D103" t="s">
        <v>188</v>
      </c>
      <c r="E103" t="s">
        <v>240</v>
      </c>
      <c r="F103" t="s">
        <v>253</v>
      </c>
      <c r="G103" t="s">
        <v>254</v>
      </c>
      <c r="H103" s="1">
        <v>44234</v>
      </c>
      <c r="I103" s="2">
        <v>45428</v>
      </c>
      <c r="J103" s="2">
        <v>43071</v>
      </c>
    </row>
    <row r="104" spans="1:10" x14ac:dyDescent="0.3">
      <c r="A104" t="s">
        <v>111</v>
      </c>
      <c r="B104" t="s">
        <v>780</v>
      </c>
      <c r="C104" t="s">
        <v>1130</v>
      </c>
      <c r="D104" t="s">
        <v>188</v>
      </c>
      <c r="E104" t="s">
        <v>217</v>
      </c>
      <c r="F104" t="s">
        <v>250</v>
      </c>
      <c r="G104" t="s">
        <v>254</v>
      </c>
      <c r="H104" s="1">
        <v>43320</v>
      </c>
      <c r="I104" s="2">
        <v>43326</v>
      </c>
      <c r="J104" s="2" t="s">
        <v>611</v>
      </c>
    </row>
    <row r="105" spans="1:10" x14ac:dyDescent="0.3">
      <c r="A105" t="s">
        <v>112</v>
      </c>
      <c r="B105" t="s">
        <v>781</v>
      </c>
      <c r="C105" t="s">
        <v>1131</v>
      </c>
      <c r="D105" t="s">
        <v>188</v>
      </c>
      <c r="E105" t="s">
        <v>218</v>
      </c>
      <c r="F105" t="s">
        <v>251</v>
      </c>
      <c r="G105" t="s">
        <v>256</v>
      </c>
      <c r="H105" s="1">
        <v>42801</v>
      </c>
      <c r="I105" s="2">
        <v>46157</v>
      </c>
      <c r="J105" s="2">
        <v>42861</v>
      </c>
    </row>
    <row r="106" spans="1:10" x14ac:dyDescent="0.3">
      <c r="A106" t="s">
        <v>113</v>
      </c>
      <c r="B106" t="s">
        <v>782</v>
      </c>
      <c r="C106" t="s">
        <v>1132</v>
      </c>
      <c r="D106" t="s">
        <v>188</v>
      </c>
      <c r="E106" t="s">
        <v>222</v>
      </c>
      <c r="F106" t="s">
        <v>250</v>
      </c>
      <c r="G106" t="s">
        <v>254</v>
      </c>
      <c r="H106" s="1">
        <v>44892</v>
      </c>
      <c r="I106" s="2">
        <v>46132</v>
      </c>
      <c r="J106" s="2" t="s">
        <v>611</v>
      </c>
    </row>
    <row r="107" spans="1:10" x14ac:dyDescent="0.3">
      <c r="A107" t="s">
        <v>114</v>
      </c>
      <c r="B107" t="s">
        <v>789</v>
      </c>
      <c r="C107" t="s">
        <v>1139</v>
      </c>
      <c r="D107" t="s">
        <v>188</v>
      </c>
      <c r="E107" t="s">
        <v>199</v>
      </c>
      <c r="F107" t="s">
        <v>253</v>
      </c>
      <c r="G107" t="s">
        <v>254</v>
      </c>
      <c r="H107" s="1">
        <v>44901</v>
      </c>
      <c r="I107" s="2">
        <v>45526</v>
      </c>
      <c r="J107" s="2" t="s">
        <v>611</v>
      </c>
    </row>
    <row r="108" spans="1:10" x14ac:dyDescent="0.3">
      <c r="A108" t="s">
        <v>115</v>
      </c>
      <c r="B108" t="s">
        <v>792</v>
      </c>
      <c r="C108" t="s">
        <v>1142</v>
      </c>
      <c r="D108" t="s">
        <v>188</v>
      </c>
      <c r="E108" t="s">
        <v>203</v>
      </c>
      <c r="F108" t="s">
        <v>253</v>
      </c>
      <c r="G108" t="s">
        <v>256</v>
      </c>
      <c r="H108" s="1">
        <v>42962</v>
      </c>
      <c r="I108" s="2">
        <v>43120</v>
      </c>
      <c r="J108" s="2">
        <v>45988</v>
      </c>
    </row>
    <row r="109" spans="1:10" x14ac:dyDescent="0.3">
      <c r="A109" t="s">
        <v>116</v>
      </c>
      <c r="B109" t="s">
        <v>795</v>
      </c>
      <c r="C109" t="s">
        <v>1145</v>
      </c>
      <c r="D109" t="s">
        <v>188</v>
      </c>
      <c r="E109" t="s">
        <v>218</v>
      </c>
      <c r="F109" t="s">
        <v>253</v>
      </c>
      <c r="G109" t="s">
        <v>254</v>
      </c>
      <c r="H109" s="1">
        <v>46097</v>
      </c>
      <c r="I109" s="2">
        <v>45539</v>
      </c>
      <c r="J109" s="2">
        <v>45142</v>
      </c>
    </row>
    <row r="110" spans="1:10" x14ac:dyDescent="0.3">
      <c r="A110" t="s">
        <v>117</v>
      </c>
      <c r="B110" t="s">
        <v>799</v>
      </c>
      <c r="C110" t="s">
        <v>1149</v>
      </c>
      <c r="D110" t="s">
        <v>188</v>
      </c>
      <c r="E110" t="s">
        <v>213</v>
      </c>
      <c r="F110" t="s">
        <v>251</v>
      </c>
      <c r="G110" t="s">
        <v>254</v>
      </c>
      <c r="H110" s="1">
        <v>43530</v>
      </c>
      <c r="I110" s="2">
        <v>45730</v>
      </c>
      <c r="J110" s="2">
        <v>45851</v>
      </c>
    </row>
    <row r="111" spans="1:10" x14ac:dyDescent="0.3">
      <c r="A111" t="s">
        <v>118</v>
      </c>
      <c r="B111" t="s">
        <v>802</v>
      </c>
      <c r="C111" t="s">
        <v>1152</v>
      </c>
      <c r="D111" t="s">
        <v>188</v>
      </c>
      <c r="E111" t="s">
        <v>247</v>
      </c>
      <c r="F111" t="s">
        <v>251</v>
      </c>
      <c r="G111" t="s">
        <v>257</v>
      </c>
      <c r="H111" s="1">
        <v>43291</v>
      </c>
      <c r="I111" s="2">
        <v>45744</v>
      </c>
      <c r="J111" s="2">
        <v>43562</v>
      </c>
    </row>
    <row r="112" spans="1:10" x14ac:dyDescent="0.3">
      <c r="A112" t="s">
        <v>119</v>
      </c>
      <c r="B112" t="s">
        <v>803</v>
      </c>
      <c r="C112" t="s">
        <v>1153</v>
      </c>
      <c r="D112" t="s">
        <v>188</v>
      </c>
      <c r="E112" t="s">
        <v>233</v>
      </c>
      <c r="F112" t="s">
        <v>252</v>
      </c>
      <c r="G112" t="s">
        <v>254</v>
      </c>
      <c r="H112" s="1">
        <v>43218</v>
      </c>
      <c r="I112" s="2">
        <v>45636</v>
      </c>
      <c r="J112" s="2" t="s">
        <v>611</v>
      </c>
    </row>
    <row r="113" spans="1:10" x14ac:dyDescent="0.3">
      <c r="A113" t="s">
        <v>120</v>
      </c>
      <c r="B113" t="s">
        <v>804</v>
      </c>
      <c r="C113" t="s">
        <v>1154</v>
      </c>
      <c r="D113" t="s">
        <v>188</v>
      </c>
      <c r="E113" t="s">
        <v>228</v>
      </c>
      <c r="F113" t="s">
        <v>250</v>
      </c>
      <c r="G113" t="s">
        <v>254</v>
      </c>
      <c r="H113" s="1">
        <v>44894</v>
      </c>
      <c r="I113" s="2">
        <v>45922</v>
      </c>
      <c r="J113" s="2" t="s">
        <v>611</v>
      </c>
    </row>
    <row r="114" spans="1:10" x14ac:dyDescent="0.3">
      <c r="A114" t="s">
        <v>121</v>
      </c>
      <c r="B114" t="s">
        <v>807</v>
      </c>
      <c r="C114" t="s">
        <v>1156</v>
      </c>
      <c r="D114" t="s">
        <v>188</v>
      </c>
      <c r="E114" t="s">
        <v>238</v>
      </c>
      <c r="F114" t="s">
        <v>251</v>
      </c>
      <c r="G114" t="s">
        <v>254</v>
      </c>
      <c r="H114" s="1">
        <v>44313</v>
      </c>
      <c r="I114" s="2">
        <v>43862</v>
      </c>
      <c r="J114" s="2">
        <v>44005</v>
      </c>
    </row>
    <row r="115" spans="1:10" x14ac:dyDescent="0.3">
      <c r="A115" t="s">
        <v>122</v>
      </c>
      <c r="B115" t="s">
        <v>809</v>
      </c>
      <c r="C115" t="s">
        <v>1158</v>
      </c>
      <c r="D115" t="s">
        <v>188</v>
      </c>
      <c r="E115" t="s">
        <v>241</v>
      </c>
      <c r="F115" t="s">
        <v>252</v>
      </c>
      <c r="G115" t="s">
        <v>256</v>
      </c>
      <c r="H115" s="1">
        <v>44941</v>
      </c>
      <c r="I115" s="2">
        <v>45517</v>
      </c>
      <c r="J115" s="2">
        <v>44669</v>
      </c>
    </row>
    <row r="116" spans="1:10" x14ac:dyDescent="0.3">
      <c r="A116" t="s">
        <v>123</v>
      </c>
      <c r="B116" t="s">
        <v>810</v>
      </c>
      <c r="C116" t="s">
        <v>1159</v>
      </c>
      <c r="D116" t="s">
        <v>188</v>
      </c>
      <c r="E116" t="s">
        <v>247</v>
      </c>
      <c r="F116" t="s">
        <v>251</v>
      </c>
      <c r="G116" t="s">
        <v>257</v>
      </c>
      <c r="H116" s="1">
        <v>45747</v>
      </c>
      <c r="I116" s="2">
        <v>43577</v>
      </c>
      <c r="J116" s="2" t="s">
        <v>611</v>
      </c>
    </row>
    <row r="117" spans="1:10" x14ac:dyDescent="0.3">
      <c r="A117" t="s">
        <v>124</v>
      </c>
      <c r="B117" t="s">
        <v>811</v>
      </c>
      <c r="C117" t="s">
        <v>1160</v>
      </c>
      <c r="D117" t="s">
        <v>188</v>
      </c>
      <c r="E117" t="s">
        <v>235</v>
      </c>
      <c r="F117" t="s">
        <v>252</v>
      </c>
      <c r="G117" t="s">
        <v>257</v>
      </c>
      <c r="H117" s="1">
        <v>42956</v>
      </c>
      <c r="I117" s="2">
        <v>44302</v>
      </c>
      <c r="J117" s="2">
        <v>45925</v>
      </c>
    </row>
    <row r="118" spans="1:10" x14ac:dyDescent="0.3">
      <c r="A118" t="s">
        <v>125</v>
      </c>
      <c r="B118" t="s">
        <v>812</v>
      </c>
      <c r="C118" t="s">
        <v>1161</v>
      </c>
      <c r="D118" t="s">
        <v>188</v>
      </c>
      <c r="E118" t="s">
        <v>242</v>
      </c>
      <c r="F118" t="s">
        <v>253</v>
      </c>
      <c r="G118" t="s">
        <v>255</v>
      </c>
      <c r="H118" s="1">
        <v>45353</v>
      </c>
      <c r="I118" s="2">
        <v>45471</v>
      </c>
      <c r="J118" s="2">
        <v>44120</v>
      </c>
    </row>
    <row r="119" spans="1:10" x14ac:dyDescent="0.3">
      <c r="A119" t="s">
        <v>126</v>
      </c>
      <c r="B119" t="s">
        <v>816</v>
      </c>
      <c r="C119" t="s">
        <v>1165</v>
      </c>
      <c r="D119" t="s">
        <v>188</v>
      </c>
      <c r="E119" t="s">
        <v>242</v>
      </c>
      <c r="F119" t="s">
        <v>251</v>
      </c>
      <c r="G119" t="s">
        <v>257</v>
      </c>
      <c r="H119" s="1">
        <v>43174</v>
      </c>
      <c r="I119" s="2">
        <v>44397</v>
      </c>
      <c r="J119" s="2">
        <v>44170</v>
      </c>
    </row>
    <row r="120" spans="1:10" x14ac:dyDescent="0.3">
      <c r="A120" t="s">
        <v>127</v>
      </c>
      <c r="B120" t="s">
        <v>817</v>
      </c>
      <c r="C120" t="s">
        <v>1166</v>
      </c>
      <c r="D120" t="s">
        <v>188</v>
      </c>
      <c r="E120" t="s">
        <v>227</v>
      </c>
      <c r="F120" t="s">
        <v>250</v>
      </c>
      <c r="G120" t="s">
        <v>255</v>
      </c>
      <c r="H120" s="1">
        <v>42894</v>
      </c>
      <c r="I120" s="2">
        <v>45211</v>
      </c>
      <c r="J120" s="2">
        <v>45687</v>
      </c>
    </row>
    <row r="121" spans="1:10" x14ac:dyDescent="0.3">
      <c r="A121" t="s">
        <v>128</v>
      </c>
      <c r="B121" t="s">
        <v>819</v>
      </c>
      <c r="C121" t="s">
        <v>1168</v>
      </c>
      <c r="D121" t="s">
        <v>188</v>
      </c>
      <c r="E121" t="s">
        <v>229</v>
      </c>
      <c r="F121" t="s">
        <v>251</v>
      </c>
      <c r="G121" t="s">
        <v>255</v>
      </c>
      <c r="H121" s="1">
        <v>43339</v>
      </c>
      <c r="I121" s="2">
        <v>45995</v>
      </c>
      <c r="J121" s="2" t="s">
        <v>611</v>
      </c>
    </row>
    <row r="122" spans="1:10" x14ac:dyDescent="0.3">
      <c r="A122" t="s">
        <v>129</v>
      </c>
      <c r="B122" t="s">
        <v>821</v>
      </c>
      <c r="C122" t="s">
        <v>1170</v>
      </c>
      <c r="D122" t="s">
        <v>188</v>
      </c>
      <c r="E122" t="s">
        <v>211</v>
      </c>
      <c r="F122" t="s">
        <v>253</v>
      </c>
      <c r="G122" t="s">
        <v>257</v>
      </c>
      <c r="H122" s="1">
        <v>45559</v>
      </c>
      <c r="I122" s="2">
        <v>44357</v>
      </c>
      <c r="J122" s="2" t="s">
        <v>611</v>
      </c>
    </row>
    <row r="123" spans="1:10" x14ac:dyDescent="0.3">
      <c r="A123" t="s">
        <v>130</v>
      </c>
      <c r="B123" t="s">
        <v>823</v>
      </c>
      <c r="C123" t="s">
        <v>1172</v>
      </c>
      <c r="D123" t="s">
        <v>188</v>
      </c>
      <c r="E123" t="s">
        <v>232</v>
      </c>
      <c r="F123" t="s">
        <v>252</v>
      </c>
      <c r="G123" t="s">
        <v>256</v>
      </c>
      <c r="H123" s="1">
        <v>43940</v>
      </c>
      <c r="I123" s="2">
        <v>43416</v>
      </c>
      <c r="J123" s="2" t="s">
        <v>611</v>
      </c>
    </row>
    <row r="124" spans="1:10" x14ac:dyDescent="0.3">
      <c r="A124" t="s">
        <v>131</v>
      </c>
      <c r="B124" t="s">
        <v>825</v>
      </c>
      <c r="C124" t="s">
        <v>1174</v>
      </c>
      <c r="D124" t="s">
        <v>188</v>
      </c>
      <c r="E124" t="s">
        <v>196</v>
      </c>
      <c r="F124" t="s">
        <v>251</v>
      </c>
      <c r="G124" t="s">
        <v>256</v>
      </c>
      <c r="H124" s="1">
        <v>43142</v>
      </c>
      <c r="I124" s="2">
        <v>44803</v>
      </c>
      <c r="J124" s="2">
        <v>43088</v>
      </c>
    </row>
    <row r="125" spans="1:10" x14ac:dyDescent="0.3">
      <c r="A125" t="s">
        <v>132</v>
      </c>
      <c r="B125" t="s">
        <v>826</v>
      </c>
      <c r="C125" t="s">
        <v>1175</v>
      </c>
      <c r="D125" t="s">
        <v>188</v>
      </c>
      <c r="E125" t="s">
        <v>243</v>
      </c>
      <c r="F125" t="s">
        <v>250</v>
      </c>
      <c r="G125" t="s">
        <v>257</v>
      </c>
      <c r="H125" s="1">
        <v>45652</v>
      </c>
      <c r="I125" s="2">
        <v>42878</v>
      </c>
      <c r="J125" s="2">
        <v>42811</v>
      </c>
    </row>
    <row r="126" spans="1:10" x14ac:dyDescent="0.3">
      <c r="A126" t="s">
        <v>133</v>
      </c>
      <c r="B126" t="s">
        <v>828</v>
      </c>
      <c r="C126" t="s">
        <v>1177</v>
      </c>
      <c r="D126" t="s">
        <v>188</v>
      </c>
      <c r="E126" t="s">
        <v>246</v>
      </c>
      <c r="F126" t="s">
        <v>250</v>
      </c>
      <c r="G126" t="s">
        <v>254</v>
      </c>
      <c r="H126" s="1">
        <v>43274</v>
      </c>
      <c r="I126" s="2">
        <v>45772</v>
      </c>
      <c r="J126" s="2" t="s">
        <v>611</v>
      </c>
    </row>
    <row r="127" spans="1:10" x14ac:dyDescent="0.3">
      <c r="A127" t="s">
        <v>134</v>
      </c>
      <c r="B127" t="s">
        <v>831</v>
      </c>
      <c r="C127" t="s">
        <v>1180</v>
      </c>
      <c r="D127" t="s">
        <v>188</v>
      </c>
      <c r="E127" t="s">
        <v>190</v>
      </c>
      <c r="F127" t="s">
        <v>252</v>
      </c>
      <c r="G127" t="s">
        <v>255</v>
      </c>
      <c r="H127" s="1">
        <v>46217</v>
      </c>
      <c r="I127" s="2">
        <v>44653</v>
      </c>
      <c r="J127" s="2">
        <v>44264</v>
      </c>
    </row>
    <row r="128" spans="1:10" x14ac:dyDescent="0.3">
      <c r="A128" t="s">
        <v>135</v>
      </c>
      <c r="B128" t="s">
        <v>832</v>
      </c>
      <c r="C128" t="s">
        <v>1181</v>
      </c>
      <c r="D128" t="s">
        <v>188</v>
      </c>
      <c r="E128" t="s">
        <v>231</v>
      </c>
      <c r="F128" t="s">
        <v>251</v>
      </c>
      <c r="G128" t="s">
        <v>256</v>
      </c>
      <c r="H128" s="1">
        <v>45293</v>
      </c>
      <c r="I128" s="2">
        <v>43955</v>
      </c>
      <c r="J128" s="2">
        <v>45737</v>
      </c>
    </row>
    <row r="129" spans="1:10" x14ac:dyDescent="0.3">
      <c r="A129" t="s">
        <v>136</v>
      </c>
      <c r="B129" t="s">
        <v>833</v>
      </c>
      <c r="C129" t="s">
        <v>1182</v>
      </c>
      <c r="D129" t="s">
        <v>188</v>
      </c>
      <c r="E129" t="s">
        <v>244</v>
      </c>
      <c r="F129" t="s">
        <v>251</v>
      </c>
      <c r="G129" t="s">
        <v>254</v>
      </c>
      <c r="H129" s="1">
        <v>45610</v>
      </c>
      <c r="I129" s="2">
        <v>45974</v>
      </c>
      <c r="J129" s="2" t="s">
        <v>611</v>
      </c>
    </row>
    <row r="130" spans="1:10" x14ac:dyDescent="0.3">
      <c r="A130" t="s">
        <v>137</v>
      </c>
      <c r="B130" t="s">
        <v>834</v>
      </c>
      <c r="C130" t="s">
        <v>1183</v>
      </c>
      <c r="D130" t="s">
        <v>188</v>
      </c>
      <c r="E130" t="s">
        <v>206</v>
      </c>
      <c r="F130" t="s">
        <v>252</v>
      </c>
      <c r="G130" t="s">
        <v>257</v>
      </c>
      <c r="H130" s="1">
        <v>43904</v>
      </c>
      <c r="I130" s="2">
        <v>44318</v>
      </c>
      <c r="J130" s="2">
        <v>44432</v>
      </c>
    </row>
    <row r="131" spans="1:10" x14ac:dyDescent="0.3">
      <c r="A131" t="s">
        <v>138</v>
      </c>
      <c r="B131" t="s">
        <v>835</v>
      </c>
      <c r="C131" t="s">
        <v>1184</v>
      </c>
      <c r="D131" t="s">
        <v>188</v>
      </c>
      <c r="E131" t="s">
        <v>194</v>
      </c>
      <c r="F131" t="s">
        <v>252</v>
      </c>
      <c r="G131" t="s">
        <v>255</v>
      </c>
      <c r="H131" s="1">
        <v>45483</v>
      </c>
      <c r="I131" s="2">
        <v>43132</v>
      </c>
      <c r="J131" s="2" t="s">
        <v>611</v>
      </c>
    </row>
    <row r="132" spans="1:10" x14ac:dyDescent="0.3">
      <c r="A132" t="s">
        <v>139</v>
      </c>
      <c r="B132" t="s">
        <v>836</v>
      </c>
      <c r="C132" t="s">
        <v>1185</v>
      </c>
      <c r="D132" t="s">
        <v>188</v>
      </c>
      <c r="E132" t="s">
        <v>218</v>
      </c>
      <c r="F132" t="s">
        <v>253</v>
      </c>
      <c r="G132" t="s">
        <v>254</v>
      </c>
      <c r="H132" s="1">
        <v>43835</v>
      </c>
      <c r="I132" s="2">
        <v>42876</v>
      </c>
      <c r="J132" s="2">
        <v>44872</v>
      </c>
    </row>
    <row r="133" spans="1:10" x14ac:dyDescent="0.3">
      <c r="A133" t="s">
        <v>140</v>
      </c>
      <c r="B133" t="s">
        <v>837</v>
      </c>
      <c r="C133" t="s">
        <v>1186</v>
      </c>
      <c r="D133" t="s">
        <v>188</v>
      </c>
      <c r="E133" t="s">
        <v>234</v>
      </c>
      <c r="F133" t="s">
        <v>250</v>
      </c>
      <c r="G133" t="s">
        <v>254</v>
      </c>
      <c r="H133" s="1">
        <v>44978</v>
      </c>
      <c r="I133" s="2">
        <v>45248</v>
      </c>
      <c r="J133" s="2">
        <v>43115</v>
      </c>
    </row>
    <row r="134" spans="1:10" x14ac:dyDescent="0.3">
      <c r="A134" t="s">
        <v>141</v>
      </c>
      <c r="B134" t="s">
        <v>838</v>
      </c>
      <c r="C134" t="s">
        <v>1187</v>
      </c>
      <c r="D134" t="s">
        <v>188</v>
      </c>
      <c r="E134" t="s">
        <v>208</v>
      </c>
      <c r="F134" t="s">
        <v>253</v>
      </c>
      <c r="G134" t="s">
        <v>257</v>
      </c>
      <c r="H134" s="1">
        <v>45931</v>
      </c>
      <c r="I134" s="2">
        <v>44602</v>
      </c>
      <c r="J134" s="2" t="s">
        <v>611</v>
      </c>
    </row>
    <row r="135" spans="1:10" x14ac:dyDescent="0.3">
      <c r="A135" t="s">
        <v>142</v>
      </c>
      <c r="B135" t="s">
        <v>869</v>
      </c>
      <c r="C135" t="s">
        <v>1218</v>
      </c>
      <c r="D135" t="s">
        <v>188</v>
      </c>
      <c r="E135" t="s">
        <v>190</v>
      </c>
      <c r="F135" t="s">
        <v>253</v>
      </c>
      <c r="G135" t="s">
        <v>255</v>
      </c>
      <c r="H135" s="1">
        <v>44304</v>
      </c>
      <c r="I135" s="2">
        <v>46091</v>
      </c>
      <c r="J135" s="2" t="s">
        <v>611</v>
      </c>
    </row>
    <row r="136" spans="1:10" x14ac:dyDescent="0.3">
      <c r="A136" t="s">
        <v>143</v>
      </c>
      <c r="B136" t="s">
        <v>871</v>
      </c>
      <c r="C136" t="s">
        <v>1219</v>
      </c>
      <c r="D136" t="s">
        <v>188</v>
      </c>
      <c r="E136" t="s">
        <v>230</v>
      </c>
      <c r="F136" t="s">
        <v>251</v>
      </c>
      <c r="G136" t="s">
        <v>257</v>
      </c>
      <c r="H136" s="1">
        <v>45847</v>
      </c>
      <c r="I136" s="2">
        <v>44737</v>
      </c>
      <c r="J136" s="2">
        <v>42690</v>
      </c>
    </row>
    <row r="137" spans="1:10" x14ac:dyDescent="0.3">
      <c r="A137" t="s">
        <v>144</v>
      </c>
      <c r="B137" t="s">
        <v>872</v>
      </c>
      <c r="C137" t="s">
        <v>1162</v>
      </c>
      <c r="D137" t="s">
        <v>188</v>
      </c>
      <c r="E137" t="s">
        <v>203</v>
      </c>
      <c r="F137" t="s">
        <v>252</v>
      </c>
      <c r="G137" t="s">
        <v>257</v>
      </c>
      <c r="H137" s="1">
        <v>44810</v>
      </c>
      <c r="I137" s="2">
        <v>44104</v>
      </c>
      <c r="J137" s="2" t="s">
        <v>611</v>
      </c>
    </row>
    <row r="138" spans="1:10" x14ac:dyDescent="0.3">
      <c r="A138" t="s">
        <v>145</v>
      </c>
      <c r="B138" t="s">
        <v>881</v>
      </c>
      <c r="C138" t="s">
        <v>1228</v>
      </c>
      <c r="D138" t="s">
        <v>188</v>
      </c>
      <c r="E138" t="s">
        <v>246</v>
      </c>
      <c r="F138" t="s">
        <v>251</v>
      </c>
      <c r="G138" t="s">
        <v>255</v>
      </c>
      <c r="H138" s="1">
        <v>44922</v>
      </c>
      <c r="I138" s="2">
        <v>43289</v>
      </c>
      <c r="J138" s="2" t="s">
        <v>611</v>
      </c>
    </row>
    <row r="139" spans="1:10" x14ac:dyDescent="0.3">
      <c r="A139" t="s">
        <v>146</v>
      </c>
      <c r="B139" t="s">
        <v>883</v>
      </c>
      <c r="C139" t="s">
        <v>1230</v>
      </c>
      <c r="D139" t="s">
        <v>188</v>
      </c>
      <c r="E139" t="s">
        <v>199</v>
      </c>
      <c r="F139" t="s">
        <v>250</v>
      </c>
      <c r="G139" t="s">
        <v>256</v>
      </c>
      <c r="H139" s="1">
        <v>43932</v>
      </c>
      <c r="I139" s="2">
        <v>43710</v>
      </c>
      <c r="J139" s="2">
        <v>45163</v>
      </c>
    </row>
    <row r="140" spans="1:10" x14ac:dyDescent="0.3">
      <c r="A140" t="s">
        <v>147</v>
      </c>
      <c r="B140" t="s">
        <v>884</v>
      </c>
      <c r="C140" t="s">
        <v>1231</v>
      </c>
      <c r="D140" t="s">
        <v>188</v>
      </c>
      <c r="E140" t="s">
        <v>245</v>
      </c>
      <c r="F140" t="s">
        <v>252</v>
      </c>
      <c r="G140" t="s">
        <v>257</v>
      </c>
      <c r="H140" s="1">
        <v>45386</v>
      </c>
      <c r="I140" s="2">
        <v>46103</v>
      </c>
      <c r="J140" s="2" t="s">
        <v>611</v>
      </c>
    </row>
    <row r="141" spans="1:10" x14ac:dyDescent="0.3">
      <c r="A141" t="s">
        <v>148</v>
      </c>
      <c r="B141" t="s">
        <v>885</v>
      </c>
      <c r="C141" t="s">
        <v>1232</v>
      </c>
      <c r="D141" t="s">
        <v>188</v>
      </c>
      <c r="E141" t="s">
        <v>238</v>
      </c>
      <c r="F141" t="s">
        <v>252</v>
      </c>
      <c r="G141" t="s">
        <v>256</v>
      </c>
      <c r="H141" s="1">
        <v>44771</v>
      </c>
      <c r="I141" s="2">
        <v>42942</v>
      </c>
      <c r="J141" s="2">
        <v>42909</v>
      </c>
    </row>
    <row r="142" spans="1:10" x14ac:dyDescent="0.3">
      <c r="A142" t="s">
        <v>149</v>
      </c>
      <c r="B142" t="s">
        <v>887</v>
      </c>
      <c r="C142" t="s">
        <v>1234</v>
      </c>
      <c r="D142" t="s">
        <v>188</v>
      </c>
      <c r="E142" t="s">
        <v>198</v>
      </c>
      <c r="F142" t="s">
        <v>252</v>
      </c>
      <c r="G142" t="s">
        <v>256</v>
      </c>
      <c r="H142" s="1">
        <v>44849</v>
      </c>
      <c r="I142" s="2">
        <v>45281</v>
      </c>
      <c r="J142" s="2" t="s">
        <v>611</v>
      </c>
    </row>
    <row r="143" spans="1:10" x14ac:dyDescent="0.3">
      <c r="A143" t="s">
        <v>150</v>
      </c>
      <c r="B143" t="s">
        <v>888</v>
      </c>
      <c r="C143" t="s">
        <v>1235</v>
      </c>
      <c r="D143" t="s">
        <v>188</v>
      </c>
      <c r="E143" t="s">
        <v>237</v>
      </c>
      <c r="F143" t="s">
        <v>251</v>
      </c>
      <c r="G143" t="s">
        <v>254</v>
      </c>
      <c r="H143" s="1">
        <v>45989</v>
      </c>
      <c r="I143" s="2">
        <v>45453</v>
      </c>
      <c r="J143" s="2" t="s">
        <v>611</v>
      </c>
    </row>
    <row r="144" spans="1:10" x14ac:dyDescent="0.3">
      <c r="A144" t="s">
        <v>151</v>
      </c>
      <c r="B144" t="s">
        <v>889</v>
      </c>
      <c r="C144" t="s">
        <v>1236</v>
      </c>
      <c r="D144" t="s">
        <v>188</v>
      </c>
      <c r="E144" t="s">
        <v>232</v>
      </c>
      <c r="F144" t="s">
        <v>251</v>
      </c>
      <c r="G144" t="s">
        <v>256</v>
      </c>
      <c r="H144" s="1">
        <v>42583</v>
      </c>
      <c r="I144" s="2">
        <v>45077</v>
      </c>
      <c r="J144" s="2">
        <v>44160</v>
      </c>
    </row>
    <row r="145" spans="1:10" x14ac:dyDescent="0.3">
      <c r="A145" t="s">
        <v>152</v>
      </c>
      <c r="B145" t="s">
        <v>892</v>
      </c>
      <c r="C145" t="s">
        <v>1239</v>
      </c>
      <c r="D145" t="s">
        <v>188</v>
      </c>
      <c r="E145" t="s">
        <v>198</v>
      </c>
      <c r="F145" t="s">
        <v>252</v>
      </c>
      <c r="G145" t="s">
        <v>255</v>
      </c>
      <c r="H145" s="1">
        <v>44767</v>
      </c>
      <c r="I145" s="2">
        <v>44386</v>
      </c>
      <c r="J145" s="2" t="s">
        <v>611</v>
      </c>
    </row>
    <row r="146" spans="1:10" x14ac:dyDescent="0.3">
      <c r="A146" t="s">
        <v>153</v>
      </c>
      <c r="B146" t="s">
        <v>894</v>
      </c>
      <c r="C146" t="s">
        <v>1241</v>
      </c>
      <c r="D146" t="s">
        <v>188</v>
      </c>
      <c r="E146" t="s">
        <v>201</v>
      </c>
      <c r="F146" t="s">
        <v>252</v>
      </c>
      <c r="G146" t="s">
        <v>255</v>
      </c>
      <c r="H146" s="1">
        <v>44999</v>
      </c>
      <c r="I146" s="2">
        <v>42665</v>
      </c>
      <c r="J146" s="2" t="s">
        <v>611</v>
      </c>
    </row>
    <row r="147" spans="1:10" x14ac:dyDescent="0.3">
      <c r="A147" t="s">
        <v>154</v>
      </c>
      <c r="B147" t="s">
        <v>895</v>
      </c>
      <c r="C147" t="s">
        <v>1242</v>
      </c>
      <c r="D147" t="s">
        <v>188</v>
      </c>
      <c r="E147" t="s">
        <v>237</v>
      </c>
      <c r="F147" t="s">
        <v>251</v>
      </c>
      <c r="G147" t="s">
        <v>254</v>
      </c>
      <c r="H147" s="1">
        <v>42867</v>
      </c>
      <c r="I147" s="2">
        <v>43456</v>
      </c>
      <c r="J147" s="2">
        <v>44419</v>
      </c>
    </row>
    <row r="148" spans="1:10" x14ac:dyDescent="0.3">
      <c r="A148" t="s">
        <v>155</v>
      </c>
      <c r="B148" t="s">
        <v>897</v>
      </c>
      <c r="C148" t="s">
        <v>1244</v>
      </c>
      <c r="D148" t="s">
        <v>188</v>
      </c>
      <c r="E148" t="s">
        <v>214</v>
      </c>
      <c r="F148" t="s">
        <v>251</v>
      </c>
      <c r="G148" t="s">
        <v>254</v>
      </c>
      <c r="H148" s="1">
        <v>43549</v>
      </c>
      <c r="I148" s="2">
        <v>44542</v>
      </c>
      <c r="J148" s="2" t="s">
        <v>611</v>
      </c>
    </row>
    <row r="149" spans="1:10" x14ac:dyDescent="0.3">
      <c r="A149" t="s">
        <v>156</v>
      </c>
      <c r="B149" t="s">
        <v>898</v>
      </c>
      <c r="C149" t="s">
        <v>1245</v>
      </c>
      <c r="D149" t="s">
        <v>188</v>
      </c>
      <c r="E149" t="s">
        <v>213</v>
      </c>
      <c r="F149" t="s">
        <v>252</v>
      </c>
      <c r="G149" t="s">
        <v>255</v>
      </c>
      <c r="H149" s="1">
        <v>43461</v>
      </c>
      <c r="I149" s="2">
        <v>43095</v>
      </c>
      <c r="J149" s="2">
        <v>45415</v>
      </c>
    </row>
    <row r="150" spans="1:10" x14ac:dyDescent="0.3">
      <c r="A150" t="s">
        <v>157</v>
      </c>
      <c r="B150" t="s">
        <v>900</v>
      </c>
      <c r="C150" t="s">
        <v>1247</v>
      </c>
      <c r="D150" t="s">
        <v>188</v>
      </c>
      <c r="E150" t="s">
        <v>201</v>
      </c>
      <c r="F150" t="s">
        <v>250</v>
      </c>
      <c r="G150" t="s">
        <v>257</v>
      </c>
      <c r="H150" s="1">
        <v>45709</v>
      </c>
      <c r="I150" s="2">
        <v>45398</v>
      </c>
      <c r="J150" s="2">
        <v>44249</v>
      </c>
    </row>
    <row r="151" spans="1:10" x14ac:dyDescent="0.3">
      <c r="A151" t="s">
        <v>158</v>
      </c>
      <c r="B151" t="s">
        <v>901</v>
      </c>
      <c r="C151" t="s">
        <v>1248</v>
      </c>
      <c r="D151" t="s">
        <v>188</v>
      </c>
      <c r="E151" t="s">
        <v>238</v>
      </c>
      <c r="F151" t="s">
        <v>252</v>
      </c>
      <c r="G151" t="s">
        <v>256</v>
      </c>
      <c r="H151" s="1">
        <v>44698</v>
      </c>
      <c r="I151" s="2">
        <v>45752</v>
      </c>
      <c r="J151" s="2" t="s">
        <v>611</v>
      </c>
    </row>
    <row r="152" spans="1:10" x14ac:dyDescent="0.3">
      <c r="A152" t="s">
        <v>159</v>
      </c>
      <c r="B152" t="s">
        <v>903</v>
      </c>
      <c r="C152" t="s">
        <v>1250</v>
      </c>
      <c r="D152" t="s">
        <v>188</v>
      </c>
      <c r="E152" t="s">
        <v>219</v>
      </c>
      <c r="F152" t="s">
        <v>250</v>
      </c>
      <c r="G152" t="s">
        <v>255</v>
      </c>
      <c r="H152" s="1">
        <v>45752</v>
      </c>
      <c r="I152" s="2">
        <v>43194</v>
      </c>
      <c r="J152" s="2">
        <v>44017</v>
      </c>
    </row>
    <row r="153" spans="1:10" x14ac:dyDescent="0.3">
      <c r="A153" t="s">
        <v>160</v>
      </c>
      <c r="B153" t="s">
        <v>906</v>
      </c>
      <c r="C153" t="s">
        <v>1253</v>
      </c>
      <c r="D153" t="s">
        <v>188</v>
      </c>
      <c r="E153" t="s">
        <v>199</v>
      </c>
      <c r="F153" t="s">
        <v>252</v>
      </c>
      <c r="G153" t="s">
        <v>256</v>
      </c>
      <c r="H153" s="1">
        <v>44350</v>
      </c>
      <c r="I153" s="2">
        <v>44569</v>
      </c>
      <c r="J153" s="2" t="s">
        <v>611</v>
      </c>
    </row>
    <row r="154" spans="1:10" x14ac:dyDescent="0.3">
      <c r="A154" t="s">
        <v>161</v>
      </c>
      <c r="B154" t="s">
        <v>907</v>
      </c>
      <c r="C154" t="s">
        <v>1254</v>
      </c>
      <c r="D154" t="s">
        <v>188</v>
      </c>
      <c r="E154" t="s">
        <v>221</v>
      </c>
      <c r="F154" t="s">
        <v>253</v>
      </c>
      <c r="G154" t="s">
        <v>257</v>
      </c>
      <c r="H154" s="1">
        <v>43962</v>
      </c>
      <c r="I154" s="2">
        <v>45178</v>
      </c>
      <c r="J154" s="2">
        <v>44238</v>
      </c>
    </row>
    <row r="155" spans="1:10" x14ac:dyDescent="0.3">
      <c r="A155" t="s">
        <v>162</v>
      </c>
      <c r="B155" t="s">
        <v>909</v>
      </c>
      <c r="C155" t="s">
        <v>1256</v>
      </c>
      <c r="D155" t="s">
        <v>188</v>
      </c>
      <c r="E155" t="s">
        <v>223</v>
      </c>
      <c r="F155" t="s">
        <v>253</v>
      </c>
      <c r="G155" t="s">
        <v>255</v>
      </c>
      <c r="H155" s="1">
        <v>43572</v>
      </c>
      <c r="I155" s="2">
        <v>44026</v>
      </c>
      <c r="J155" s="2">
        <v>42943</v>
      </c>
    </row>
    <row r="156" spans="1:10" x14ac:dyDescent="0.3">
      <c r="A156" t="s">
        <v>163</v>
      </c>
      <c r="B156" t="s">
        <v>911</v>
      </c>
      <c r="C156" t="s">
        <v>1258</v>
      </c>
      <c r="D156" t="s">
        <v>188</v>
      </c>
      <c r="E156" t="s">
        <v>226</v>
      </c>
      <c r="F156" t="s">
        <v>252</v>
      </c>
      <c r="G156" t="s">
        <v>255</v>
      </c>
      <c r="H156" s="1">
        <v>43065</v>
      </c>
      <c r="I156" s="2">
        <v>43552</v>
      </c>
      <c r="J156" s="2">
        <v>43373</v>
      </c>
    </row>
    <row r="157" spans="1:10" x14ac:dyDescent="0.3">
      <c r="A157" t="s">
        <v>164</v>
      </c>
      <c r="B157" t="s">
        <v>917</v>
      </c>
      <c r="C157" t="s">
        <v>1264</v>
      </c>
      <c r="D157" t="s">
        <v>188</v>
      </c>
      <c r="E157" t="s">
        <v>243</v>
      </c>
      <c r="F157" t="s">
        <v>251</v>
      </c>
      <c r="G157" t="s">
        <v>256</v>
      </c>
      <c r="H157" s="1">
        <v>43779</v>
      </c>
      <c r="I157" s="2">
        <v>45807</v>
      </c>
      <c r="J157" s="2">
        <v>44171</v>
      </c>
    </row>
    <row r="158" spans="1:10" x14ac:dyDescent="0.3">
      <c r="A158" t="s">
        <v>165</v>
      </c>
      <c r="B158" t="s">
        <v>921</v>
      </c>
      <c r="C158" t="s">
        <v>1268</v>
      </c>
      <c r="D158" t="s">
        <v>188</v>
      </c>
      <c r="E158" t="s">
        <v>206</v>
      </c>
      <c r="F158" t="s">
        <v>253</v>
      </c>
      <c r="G158" t="s">
        <v>256</v>
      </c>
      <c r="H158" s="1">
        <v>43515</v>
      </c>
      <c r="I158" s="2">
        <v>44889</v>
      </c>
      <c r="J158" s="2" t="s">
        <v>611</v>
      </c>
    </row>
    <row r="159" spans="1:10" x14ac:dyDescent="0.3">
      <c r="A159" t="s">
        <v>166</v>
      </c>
      <c r="B159" t="s">
        <v>926</v>
      </c>
      <c r="C159" t="s">
        <v>1273</v>
      </c>
      <c r="D159" t="s">
        <v>188</v>
      </c>
      <c r="E159" t="s">
        <v>195</v>
      </c>
      <c r="F159" t="s">
        <v>251</v>
      </c>
      <c r="G159" t="s">
        <v>255</v>
      </c>
      <c r="H159" s="1">
        <v>44454</v>
      </c>
      <c r="I159" s="2">
        <v>45711</v>
      </c>
      <c r="J159" s="2" t="s">
        <v>611</v>
      </c>
    </row>
    <row r="160" spans="1:10" x14ac:dyDescent="0.3">
      <c r="A160" t="s">
        <v>167</v>
      </c>
      <c r="B160" t="s">
        <v>929</v>
      </c>
      <c r="C160" t="s">
        <v>1276</v>
      </c>
      <c r="D160" t="s">
        <v>188</v>
      </c>
      <c r="E160" t="s">
        <v>236</v>
      </c>
      <c r="F160" t="s">
        <v>253</v>
      </c>
      <c r="G160" t="s">
        <v>257</v>
      </c>
      <c r="H160" s="1">
        <v>46005</v>
      </c>
      <c r="I160" s="2">
        <v>42821</v>
      </c>
      <c r="J160" s="2">
        <v>43638</v>
      </c>
    </row>
    <row r="161" spans="1:10" x14ac:dyDescent="0.3">
      <c r="A161" t="s">
        <v>168</v>
      </c>
      <c r="B161" t="s">
        <v>932</v>
      </c>
      <c r="C161" t="s">
        <v>1279</v>
      </c>
      <c r="D161" t="s">
        <v>188</v>
      </c>
      <c r="E161" t="s">
        <v>213</v>
      </c>
      <c r="F161" t="s">
        <v>253</v>
      </c>
      <c r="G161" t="s">
        <v>257</v>
      </c>
      <c r="H161" s="1">
        <v>44646</v>
      </c>
      <c r="I161" s="2">
        <v>45573</v>
      </c>
      <c r="J161" s="2" t="s">
        <v>611</v>
      </c>
    </row>
    <row r="162" spans="1:10" x14ac:dyDescent="0.3">
      <c r="A162" t="s">
        <v>169</v>
      </c>
      <c r="B162" t="s">
        <v>934</v>
      </c>
      <c r="C162" t="s">
        <v>1281</v>
      </c>
      <c r="D162" t="s">
        <v>188</v>
      </c>
      <c r="E162" t="s">
        <v>233</v>
      </c>
      <c r="F162" t="s">
        <v>251</v>
      </c>
      <c r="G162" t="s">
        <v>256</v>
      </c>
      <c r="H162" s="1">
        <v>46132</v>
      </c>
      <c r="I162" s="2">
        <v>43450</v>
      </c>
      <c r="J162" s="2" t="s">
        <v>611</v>
      </c>
    </row>
    <row r="163" spans="1:10" x14ac:dyDescent="0.3">
      <c r="A163" t="s">
        <v>170</v>
      </c>
      <c r="B163" t="s">
        <v>935</v>
      </c>
      <c r="C163" t="s">
        <v>1282</v>
      </c>
      <c r="D163" t="s">
        <v>188</v>
      </c>
      <c r="E163" t="s">
        <v>221</v>
      </c>
      <c r="F163" t="s">
        <v>252</v>
      </c>
      <c r="G163" t="s">
        <v>255</v>
      </c>
      <c r="H163" s="1">
        <v>43000</v>
      </c>
      <c r="I163" s="2">
        <v>45397</v>
      </c>
      <c r="J163" s="2">
        <v>42748</v>
      </c>
    </row>
    <row r="164" spans="1:10" x14ac:dyDescent="0.3">
      <c r="A164" t="s">
        <v>171</v>
      </c>
      <c r="B164" t="s">
        <v>954</v>
      </c>
      <c r="C164" t="s">
        <v>1301</v>
      </c>
      <c r="D164" t="s">
        <v>188</v>
      </c>
      <c r="E164" t="s">
        <v>229</v>
      </c>
      <c r="F164" t="s">
        <v>253</v>
      </c>
      <c r="G164" t="s">
        <v>256</v>
      </c>
      <c r="H164" s="1">
        <v>42868</v>
      </c>
      <c r="I164" s="2">
        <v>45010</v>
      </c>
      <c r="J164" s="2" t="s">
        <v>611</v>
      </c>
    </row>
    <row r="165" spans="1:10" x14ac:dyDescent="0.3">
      <c r="A165" t="s">
        <v>172</v>
      </c>
      <c r="B165" t="s">
        <v>955</v>
      </c>
      <c r="C165" t="s">
        <v>1302</v>
      </c>
      <c r="D165" t="s">
        <v>188</v>
      </c>
      <c r="E165" t="s">
        <v>238</v>
      </c>
      <c r="F165" t="s">
        <v>252</v>
      </c>
      <c r="G165" t="s">
        <v>255</v>
      </c>
      <c r="H165" s="1">
        <v>42623</v>
      </c>
      <c r="I165" s="2">
        <v>44373</v>
      </c>
      <c r="J165" s="2" t="s">
        <v>611</v>
      </c>
    </row>
    <row r="166" spans="1:10" x14ac:dyDescent="0.3">
      <c r="A166" t="s">
        <v>173</v>
      </c>
      <c r="B166" t="s">
        <v>957</v>
      </c>
      <c r="C166" t="s">
        <v>1304</v>
      </c>
      <c r="D166" t="s">
        <v>188</v>
      </c>
      <c r="E166" t="s">
        <v>235</v>
      </c>
      <c r="F166" t="s">
        <v>253</v>
      </c>
      <c r="G166" t="s">
        <v>256</v>
      </c>
      <c r="H166" s="1">
        <v>42943</v>
      </c>
      <c r="I166" s="2">
        <v>45943</v>
      </c>
      <c r="J166" s="2" t="s">
        <v>611</v>
      </c>
    </row>
    <row r="167" spans="1:10" x14ac:dyDescent="0.3">
      <c r="A167" t="s">
        <v>174</v>
      </c>
      <c r="B167" t="s">
        <v>959</v>
      </c>
      <c r="C167" t="s">
        <v>1306</v>
      </c>
      <c r="D167" t="s">
        <v>188</v>
      </c>
      <c r="E167" t="s">
        <v>207</v>
      </c>
      <c r="F167" t="s">
        <v>250</v>
      </c>
      <c r="G167" t="s">
        <v>257</v>
      </c>
      <c r="H167" s="1">
        <v>45679</v>
      </c>
      <c r="I167" s="2">
        <v>45984</v>
      </c>
      <c r="J167" s="2">
        <v>46200</v>
      </c>
    </row>
    <row r="168" spans="1:10" x14ac:dyDescent="0.3">
      <c r="A168" t="s">
        <v>175</v>
      </c>
      <c r="B168" t="s">
        <v>960</v>
      </c>
      <c r="C168" t="s">
        <v>1307</v>
      </c>
      <c r="D168" t="s">
        <v>188</v>
      </c>
      <c r="E168" t="s">
        <v>243</v>
      </c>
      <c r="F168" t="s">
        <v>253</v>
      </c>
      <c r="G168" t="s">
        <v>256</v>
      </c>
      <c r="H168" s="1">
        <v>45649</v>
      </c>
      <c r="I168" s="2">
        <v>45083</v>
      </c>
      <c r="J168" s="2">
        <v>43989</v>
      </c>
    </row>
    <row r="169" spans="1:10" x14ac:dyDescent="0.3">
      <c r="A169" t="s">
        <v>176</v>
      </c>
      <c r="B169" t="s">
        <v>961</v>
      </c>
      <c r="C169" t="s">
        <v>1308</v>
      </c>
      <c r="D169" t="s">
        <v>188</v>
      </c>
      <c r="E169" t="s">
        <v>218</v>
      </c>
      <c r="F169" t="s">
        <v>252</v>
      </c>
      <c r="G169" t="s">
        <v>254</v>
      </c>
      <c r="H169" s="1">
        <v>43419</v>
      </c>
      <c r="I169" s="2">
        <v>45279</v>
      </c>
      <c r="J169" s="2">
        <v>44048</v>
      </c>
    </row>
    <row r="170" spans="1:10" x14ac:dyDescent="0.3">
      <c r="A170" t="s">
        <v>177</v>
      </c>
      <c r="B170" t="s">
        <v>963</v>
      </c>
      <c r="C170" t="s">
        <v>1310</v>
      </c>
      <c r="D170" t="s">
        <v>188</v>
      </c>
      <c r="E170" t="s">
        <v>238</v>
      </c>
      <c r="F170" t="s">
        <v>253</v>
      </c>
      <c r="G170" t="s">
        <v>255</v>
      </c>
      <c r="H170" s="1">
        <v>44547</v>
      </c>
      <c r="I170" s="2">
        <v>43387</v>
      </c>
      <c r="J170" s="2" t="s">
        <v>611</v>
      </c>
    </row>
    <row r="171" spans="1:10" x14ac:dyDescent="0.3">
      <c r="A171" t="s">
        <v>178</v>
      </c>
      <c r="B171" t="s">
        <v>965</v>
      </c>
      <c r="C171" t="s">
        <v>1312</v>
      </c>
      <c r="D171" t="s">
        <v>188</v>
      </c>
      <c r="E171" t="s">
        <v>225</v>
      </c>
      <c r="F171" t="s">
        <v>251</v>
      </c>
      <c r="G171" t="s">
        <v>257</v>
      </c>
      <c r="H171" s="1">
        <v>43756</v>
      </c>
      <c r="I171" s="2">
        <v>46158</v>
      </c>
      <c r="J171" s="2" t="s">
        <v>611</v>
      </c>
    </row>
    <row r="172" spans="1:10" x14ac:dyDescent="0.3">
      <c r="A172" t="s">
        <v>179</v>
      </c>
      <c r="B172" t="s">
        <v>967</v>
      </c>
      <c r="C172" t="s">
        <v>1314</v>
      </c>
      <c r="D172" t="s">
        <v>188</v>
      </c>
      <c r="E172" t="s">
        <v>211</v>
      </c>
      <c r="F172" t="s">
        <v>253</v>
      </c>
      <c r="G172" t="s">
        <v>257</v>
      </c>
      <c r="H172" s="1">
        <v>44310</v>
      </c>
      <c r="I172" s="2">
        <v>43954</v>
      </c>
      <c r="J172" s="2">
        <v>44178</v>
      </c>
    </row>
    <row r="173" spans="1:10" x14ac:dyDescent="0.3">
      <c r="A173" t="s">
        <v>180</v>
      </c>
      <c r="B173" t="s">
        <v>1004</v>
      </c>
      <c r="C173" t="s">
        <v>1349</v>
      </c>
      <c r="D173" t="s">
        <v>188</v>
      </c>
      <c r="E173" t="s">
        <v>215</v>
      </c>
      <c r="F173" t="s">
        <v>250</v>
      </c>
      <c r="G173" t="s">
        <v>256</v>
      </c>
      <c r="H173" s="1">
        <v>46220</v>
      </c>
      <c r="I173" s="2">
        <v>43386</v>
      </c>
      <c r="J173" s="2">
        <v>43979</v>
      </c>
    </row>
    <row r="174" spans="1:10" x14ac:dyDescent="0.3">
      <c r="A174" t="s">
        <v>181</v>
      </c>
      <c r="B174" t="s">
        <v>1005</v>
      </c>
      <c r="C174" t="s">
        <v>1350</v>
      </c>
      <c r="D174" t="s">
        <v>188</v>
      </c>
      <c r="E174" t="s">
        <v>248</v>
      </c>
      <c r="F174" t="s">
        <v>250</v>
      </c>
      <c r="G174" t="s">
        <v>255</v>
      </c>
      <c r="H174" s="1">
        <v>45954</v>
      </c>
      <c r="I174" s="2">
        <v>44724</v>
      </c>
      <c r="J174" s="2" t="s">
        <v>611</v>
      </c>
    </row>
    <row r="175" spans="1:10" x14ac:dyDescent="0.3">
      <c r="A175" t="s">
        <v>182</v>
      </c>
      <c r="B175" t="s">
        <v>1008</v>
      </c>
      <c r="C175" t="s">
        <v>1353</v>
      </c>
      <c r="D175" t="s">
        <v>188</v>
      </c>
      <c r="E175" t="s">
        <v>242</v>
      </c>
      <c r="F175" t="s">
        <v>253</v>
      </c>
      <c r="G175" t="s">
        <v>256</v>
      </c>
      <c r="H175" s="1">
        <v>43896</v>
      </c>
      <c r="I175" s="2">
        <v>44348</v>
      </c>
      <c r="J175" s="2" t="s">
        <v>611</v>
      </c>
    </row>
    <row r="176" spans="1:10" x14ac:dyDescent="0.3">
      <c r="A176" t="s">
        <v>183</v>
      </c>
      <c r="B176" t="s">
        <v>1013</v>
      </c>
      <c r="C176" t="s">
        <v>1358</v>
      </c>
      <c r="D176" t="s">
        <v>188</v>
      </c>
      <c r="E176" t="s">
        <v>227</v>
      </c>
      <c r="F176" t="s">
        <v>252</v>
      </c>
      <c r="G176" t="s">
        <v>256</v>
      </c>
      <c r="H176" s="1">
        <v>44088</v>
      </c>
      <c r="I176" s="2">
        <v>45202</v>
      </c>
      <c r="J176" s="2" t="s">
        <v>611</v>
      </c>
    </row>
    <row r="177" spans="1:10" x14ac:dyDescent="0.3">
      <c r="A177" t="s">
        <v>184</v>
      </c>
      <c r="B177" t="s">
        <v>1014</v>
      </c>
      <c r="C177" t="s">
        <v>1359</v>
      </c>
      <c r="D177" t="s">
        <v>188</v>
      </c>
      <c r="E177" t="s">
        <v>242</v>
      </c>
      <c r="F177" t="s">
        <v>250</v>
      </c>
      <c r="G177" t="s">
        <v>256</v>
      </c>
      <c r="H177" s="1">
        <v>45089</v>
      </c>
      <c r="I177" s="2">
        <v>43817</v>
      </c>
      <c r="J177" s="2">
        <v>45519</v>
      </c>
    </row>
    <row r="178" spans="1:10" x14ac:dyDescent="0.3">
      <c r="A178" t="s">
        <v>185</v>
      </c>
      <c r="B178" t="s">
        <v>1015</v>
      </c>
      <c r="C178" t="s">
        <v>1360</v>
      </c>
      <c r="D178" t="s">
        <v>188</v>
      </c>
      <c r="E178" t="s">
        <v>249</v>
      </c>
      <c r="F178" t="s">
        <v>251</v>
      </c>
      <c r="G178" t="s">
        <v>255</v>
      </c>
      <c r="H178" s="1">
        <v>44495</v>
      </c>
      <c r="I178" s="2">
        <v>43637</v>
      </c>
      <c r="J178" s="2">
        <v>43422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0"/>
  <sheetViews>
    <sheetView workbookViewId="0">
      <selection activeCell="F197" sqref="F197"/>
    </sheetView>
  </sheetViews>
  <sheetFormatPr defaultRowHeight="14.4" x14ac:dyDescent="0.3"/>
  <cols>
    <col min="1" max="1" width="8.88671875" customWidth="1"/>
    <col min="2" max="2" width="18.33203125" bestFit="1" customWidth="1"/>
    <col min="3" max="3" width="16.44140625" bestFit="1" customWidth="1"/>
    <col min="4" max="4" width="17.33203125" bestFit="1" customWidth="1"/>
    <col min="5" max="6" width="17.33203125" customWidth="1"/>
    <col min="7" max="7" width="23" customWidth="1"/>
    <col min="8" max="8" width="21.33203125" customWidth="1"/>
    <col min="9" max="9" width="12.77734375" customWidth="1"/>
    <col min="10" max="10" width="19.21875" customWidth="1"/>
  </cols>
  <sheetData>
    <row r="1" spans="1:10" x14ac:dyDescent="0.3">
      <c r="A1" t="s">
        <v>3757</v>
      </c>
      <c r="B1" t="s">
        <v>4396</v>
      </c>
      <c r="C1" t="s">
        <v>1</v>
      </c>
      <c r="D1" t="s">
        <v>2</v>
      </c>
      <c r="E1" t="s">
        <v>3</v>
      </c>
      <c r="F1" t="s">
        <v>4391</v>
      </c>
      <c r="G1" t="s">
        <v>3758</v>
      </c>
      <c r="H1" t="s">
        <v>3759</v>
      </c>
      <c r="I1" t="s">
        <v>6</v>
      </c>
      <c r="J1" t="s">
        <v>7</v>
      </c>
    </row>
    <row r="2" spans="1:10" x14ac:dyDescent="0.3">
      <c r="A2" t="s">
        <v>3760</v>
      </c>
      <c r="B2" t="s">
        <v>2381</v>
      </c>
      <c r="C2" t="s">
        <v>2681</v>
      </c>
      <c r="D2" t="s">
        <v>189</v>
      </c>
      <c r="E2" t="s">
        <v>190</v>
      </c>
      <c r="F2" t="s">
        <v>4392</v>
      </c>
      <c r="G2" s="1">
        <v>43106</v>
      </c>
      <c r="H2" s="1">
        <v>43557</v>
      </c>
      <c r="I2" s="1">
        <v>43581</v>
      </c>
      <c r="J2" s="1">
        <v>44329</v>
      </c>
    </row>
    <row r="3" spans="1:10" x14ac:dyDescent="0.3">
      <c r="A3" t="s">
        <v>3761</v>
      </c>
      <c r="B3" t="s">
        <v>2383</v>
      </c>
      <c r="C3" t="s">
        <v>2683</v>
      </c>
      <c r="D3" t="s">
        <v>189</v>
      </c>
      <c r="E3" t="s">
        <v>201</v>
      </c>
      <c r="F3" t="s">
        <v>4393</v>
      </c>
      <c r="G3" s="1">
        <v>44288</v>
      </c>
      <c r="H3" s="1">
        <v>46027</v>
      </c>
      <c r="I3" s="1">
        <v>45672</v>
      </c>
      <c r="J3" s="1">
        <v>43224</v>
      </c>
    </row>
    <row r="4" spans="1:10" x14ac:dyDescent="0.3">
      <c r="A4" t="s">
        <v>3762</v>
      </c>
      <c r="B4" t="s">
        <v>2385</v>
      </c>
      <c r="C4" t="s">
        <v>2685</v>
      </c>
      <c r="D4" t="s">
        <v>189</v>
      </c>
      <c r="E4" t="s">
        <v>209</v>
      </c>
      <c r="F4" t="s">
        <v>4393</v>
      </c>
      <c r="G4" s="1">
        <v>44120</v>
      </c>
      <c r="H4" t="s">
        <v>3956</v>
      </c>
      <c r="I4" s="1">
        <v>44918</v>
      </c>
      <c r="J4" s="1">
        <v>45897</v>
      </c>
    </row>
    <row r="5" spans="1:10" x14ac:dyDescent="0.3">
      <c r="A5" t="s">
        <v>3763</v>
      </c>
      <c r="B5" t="s">
        <v>2386</v>
      </c>
      <c r="C5" t="s">
        <v>2686</v>
      </c>
      <c r="D5" t="s">
        <v>189</v>
      </c>
      <c r="E5" t="s">
        <v>224</v>
      </c>
      <c r="F5" t="s">
        <v>4393</v>
      </c>
      <c r="G5" s="1">
        <v>42873</v>
      </c>
      <c r="H5" t="s">
        <v>3956</v>
      </c>
      <c r="I5" s="1">
        <v>42924</v>
      </c>
      <c r="J5" s="1">
        <v>43141</v>
      </c>
    </row>
    <row r="6" spans="1:10" x14ac:dyDescent="0.3">
      <c r="A6" t="s">
        <v>3764</v>
      </c>
      <c r="B6" t="s">
        <v>2387</v>
      </c>
      <c r="C6" t="s">
        <v>2687</v>
      </c>
      <c r="D6" t="s">
        <v>189</v>
      </c>
      <c r="E6" t="s">
        <v>212</v>
      </c>
      <c r="F6" t="s">
        <v>4394</v>
      </c>
      <c r="G6" s="1">
        <v>44029</v>
      </c>
      <c r="H6" t="s">
        <v>3956</v>
      </c>
      <c r="I6" s="1">
        <v>44754</v>
      </c>
      <c r="J6" s="1">
        <v>42761</v>
      </c>
    </row>
    <row r="7" spans="1:10" x14ac:dyDescent="0.3">
      <c r="A7" t="s">
        <v>3765</v>
      </c>
      <c r="B7" t="s">
        <v>2429</v>
      </c>
      <c r="C7" t="s">
        <v>2729</v>
      </c>
      <c r="D7" t="s">
        <v>189</v>
      </c>
      <c r="E7" t="s">
        <v>227</v>
      </c>
      <c r="F7" t="s">
        <v>4394</v>
      </c>
      <c r="G7" s="1">
        <v>42726</v>
      </c>
      <c r="H7" s="1">
        <v>44470</v>
      </c>
      <c r="I7" s="1">
        <v>44514</v>
      </c>
      <c r="J7" s="1">
        <v>44572</v>
      </c>
    </row>
    <row r="8" spans="1:10" x14ac:dyDescent="0.3">
      <c r="A8" t="s">
        <v>3766</v>
      </c>
      <c r="B8" t="s">
        <v>2430</v>
      </c>
      <c r="C8" t="s">
        <v>2730</v>
      </c>
      <c r="D8" t="s">
        <v>189</v>
      </c>
      <c r="E8" t="s">
        <v>233</v>
      </c>
      <c r="F8" t="s">
        <v>4395</v>
      </c>
      <c r="G8" s="1">
        <v>45230</v>
      </c>
      <c r="H8" s="1">
        <v>45744</v>
      </c>
      <c r="I8" s="1">
        <v>44372</v>
      </c>
      <c r="J8" s="1">
        <v>45568</v>
      </c>
    </row>
    <row r="9" spans="1:10" x14ac:dyDescent="0.3">
      <c r="A9" t="s">
        <v>3767</v>
      </c>
      <c r="B9" t="s">
        <v>2433</v>
      </c>
      <c r="C9" t="s">
        <v>2733</v>
      </c>
      <c r="D9" t="s">
        <v>189</v>
      </c>
      <c r="E9" t="s">
        <v>206</v>
      </c>
      <c r="F9" t="s">
        <v>4393</v>
      </c>
      <c r="G9" s="1">
        <v>45326</v>
      </c>
      <c r="H9" t="s">
        <v>3956</v>
      </c>
      <c r="I9" s="1">
        <v>43487</v>
      </c>
      <c r="J9" s="1">
        <v>43531</v>
      </c>
    </row>
    <row r="10" spans="1:10" x14ac:dyDescent="0.3">
      <c r="A10" t="s">
        <v>3768</v>
      </c>
      <c r="B10" t="s">
        <v>2435</v>
      </c>
      <c r="C10" t="s">
        <v>2735</v>
      </c>
      <c r="D10" t="s">
        <v>189</v>
      </c>
      <c r="E10" t="s">
        <v>191</v>
      </c>
      <c r="F10" t="s">
        <v>4392</v>
      </c>
      <c r="G10" s="1">
        <v>43726</v>
      </c>
      <c r="H10" t="s">
        <v>3956</v>
      </c>
      <c r="I10" s="1">
        <v>42651</v>
      </c>
      <c r="J10" s="1">
        <v>43175</v>
      </c>
    </row>
    <row r="11" spans="1:10" x14ac:dyDescent="0.3">
      <c r="A11" t="s">
        <v>3769</v>
      </c>
      <c r="B11" t="s">
        <v>2437</v>
      </c>
      <c r="C11" t="s">
        <v>2737</v>
      </c>
      <c r="D11" t="s">
        <v>189</v>
      </c>
      <c r="E11" t="s">
        <v>200</v>
      </c>
      <c r="F11" t="s">
        <v>4395</v>
      </c>
      <c r="G11" s="1">
        <v>45655</v>
      </c>
      <c r="H11" t="s">
        <v>3956</v>
      </c>
      <c r="I11" s="1">
        <v>45853</v>
      </c>
      <c r="J11" s="1">
        <v>42877</v>
      </c>
    </row>
    <row r="12" spans="1:10" x14ac:dyDescent="0.3">
      <c r="A12" t="s">
        <v>3770</v>
      </c>
      <c r="B12" t="s">
        <v>2439</v>
      </c>
      <c r="C12" t="s">
        <v>2739</v>
      </c>
      <c r="D12" t="s">
        <v>189</v>
      </c>
      <c r="E12" t="s">
        <v>219</v>
      </c>
      <c r="F12" t="s">
        <v>4392</v>
      </c>
      <c r="G12" s="1">
        <v>44955</v>
      </c>
      <c r="H12" t="s">
        <v>3956</v>
      </c>
      <c r="I12" s="1">
        <v>44612</v>
      </c>
      <c r="J12" s="1">
        <v>43812</v>
      </c>
    </row>
    <row r="13" spans="1:10" x14ac:dyDescent="0.3">
      <c r="A13" t="s">
        <v>3771</v>
      </c>
      <c r="B13" t="s">
        <v>2440</v>
      </c>
      <c r="C13" t="s">
        <v>2740</v>
      </c>
      <c r="D13" t="s">
        <v>189</v>
      </c>
      <c r="E13" t="s">
        <v>220</v>
      </c>
      <c r="F13" t="s">
        <v>4393</v>
      </c>
      <c r="G13" s="1">
        <v>45621</v>
      </c>
      <c r="H13" s="1">
        <v>44598</v>
      </c>
      <c r="I13" s="1">
        <v>46076</v>
      </c>
      <c r="J13" s="1">
        <v>44956</v>
      </c>
    </row>
    <row r="14" spans="1:10" x14ac:dyDescent="0.3">
      <c r="A14" t="s">
        <v>3772</v>
      </c>
      <c r="B14" t="s">
        <v>2441</v>
      </c>
      <c r="C14" t="s">
        <v>2741</v>
      </c>
      <c r="D14" t="s">
        <v>189</v>
      </c>
      <c r="E14" t="s">
        <v>230</v>
      </c>
      <c r="F14" t="s">
        <v>4392</v>
      </c>
      <c r="G14" s="1">
        <v>45041</v>
      </c>
      <c r="H14" t="s">
        <v>3956</v>
      </c>
      <c r="I14" s="1">
        <v>45448</v>
      </c>
      <c r="J14" s="1">
        <v>46068</v>
      </c>
    </row>
    <row r="15" spans="1:10" x14ac:dyDescent="0.3">
      <c r="A15" t="s">
        <v>3773</v>
      </c>
      <c r="B15" t="s">
        <v>2443</v>
      </c>
      <c r="C15" t="s">
        <v>2743</v>
      </c>
      <c r="D15" t="s">
        <v>189</v>
      </c>
      <c r="E15" t="s">
        <v>198</v>
      </c>
      <c r="F15" t="s">
        <v>4395</v>
      </c>
      <c r="G15" s="1">
        <v>43414</v>
      </c>
      <c r="H15" s="1">
        <v>43155</v>
      </c>
      <c r="I15" s="1">
        <v>43977</v>
      </c>
      <c r="J15" s="1">
        <v>42862</v>
      </c>
    </row>
    <row r="16" spans="1:10" x14ac:dyDescent="0.3">
      <c r="A16" t="s">
        <v>3774</v>
      </c>
      <c r="B16" t="s">
        <v>2444</v>
      </c>
      <c r="C16" t="s">
        <v>2744</v>
      </c>
      <c r="D16" t="s">
        <v>189</v>
      </c>
      <c r="E16" t="s">
        <v>215</v>
      </c>
      <c r="F16" t="s">
        <v>4394</v>
      </c>
      <c r="G16" s="1">
        <v>43141</v>
      </c>
      <c r="H16" t="s">
        <v>3956</v>
      </c>
      <c r="I16" s="1">
        <v>44146</v>
      </c>
      <c r="J16" s="1">
        <v>44329</v>
      </c>
    </row>
    <row r="17" spans="1:10" x14ac:dyDescent="0.3">
      <c r="A17" t="s">
        <v>3775</v>
      </c>
      <c r="B17" t="s">
        <v>2447</v>
      </c>
      <c r="C17" t="s">
        <v>2747</v>
      </c>
      <c r="D17" t="s">
        <v>189</v>
      </c>
      <c r="E17" t="s">
        <v>241</v>
      </c>
      <c r="F17" t="s">
        <v>4393</v>
      </c>
      <c r="G17" s="1">
        <v>42587</v>
      </c>
      <c r="H17" s="1">
        <v>45831</v>
      </c>
      <c r="I17" s="1">
        <v>42747</v>
      </c>
      <c r="J17" s="1">
        <v>46009</v>
      </c>
    </row>
    <row r="18" spans="1:10" x14ac:dyDescent="0.3">
      <c r="A18" t="s">
        <v>3776</v>
      </c>
      <c r="B18" t="s">
        <v>2448</v>
      </c>
      <c r="C18" t="s">
        <v>2748</v>
      </c>
      <c r="D18" t="s">
        <v>189</v>
      </c>
      <c r="E18" t="s">
        <v>191</v>
      </c>
      <c r="F18" t="s">
        <v>4394</v>
      </c>
      <c r="G18" s="1">
        <v>45667</v>
      </c>
      <c r="H18" t="s">
        <v>3956</v>
      </c>
      <c r="I18" s="1">
        <v>45370</v>
      </c>
      <c r="J18" s="1">
        <v>42916</v>
      </c>
    </row>
    <row r="19" spans="1:10" x14ac:dyDescent="0.3">
      <c r="A19" t="s">
        <v>3777</v>
      </c>
      <c r="B19" t="s">
        <v>2451</v>
      </c>
      <c r="C19" t="s">
        <v>2751</v>
      </c>
      <c r="D19" t="s">
        <v>189</v>
      </c>
      <c r="E19" t="s">
        <v>193</v>
      </c>
      <c r="F19" t="s">
        <v>4392</v>
      </c>
      <c r="G19" s="1">
        <v>45086</v>
      </c>
      <c r="H19" s="1">
        <v>43404</v>
      </c>
      <c r="I19" s="1">
        <v>45654</v>
      </c>
      <c r="J19" s="1">
        <v>43647</v>
      </c>
    </row>
    <row r="20" spans="1:10" x14ac:dyDescent="0.3">
      <c r="A20" t="s">
        <v>3778</v>
      </c>
      <c r="B20" t="s">
        <v>2452</v>
      </c>
      <c r="C20" t="s">
        <v>2752</v>
      </c>
      <c r="D20" t="s">
        <v>189</v>
      </c>
      <c r="E20" t="s">
        <v>202</v>
      </c>
      <c r="F20" t="s">
        <v>4394</v>
      </c>
      <c r="G20" s="1">
        <v>45599</v>
      </c>
      <c r="H20" s="1">
        <v>44878</v>
      </c>
      <c r="I20" s="1">
        <v>44335</v>
      </c>
      <c r="J20" s="1">
        <v>44258</v>
      </c>
    </row>
    <row r="21" spans="1:10" x14ac:dyDescent="0.3">
      <c r="A21" t="s">
        <v>3779</v>
      </c>
      <c r="B21" t="s">
        <v>2453</v>
      </c>
      <c r="C21" t="s">
        <v>2753</v>
      </c>
      <c r="D21" t="s">
        <v>189</v>
      </c>
      <c r="E21" t="s">
        <v>219</v>
      </c>
      <c r="F21" t="s">
        <v>4392</v>
      </c>
      <c r="G21" s="1">
        <v>44551</v>
      </c>
      <c r="H21" t="s">
        <v>3956</v>
      </c>
      <c r="I21" s="1">
        <v>43813</v>
      </c>
      <c r="J21" s="1">
        <v>43344</v>
      </c>
    </row>
    <row r="22" spans="1:10" x14ac:dyDescent="0.3">
      <c r="A22" t="s">
        <v>3780</v>
      </c>
      <c r="B22" t="s">
        <v>2454</v>
      </c>
      <c r="C22" t="s">
        <v>2754</v>
      </c>
      <c r="D22" t="s">
        <v>189</v>
      </c>
      <c r="E22" t="s">
        <v>207</v>
      </c>
      <c r="F22" t="s">
        <v>4392</v>
      </c>
      <c r="G22" s="1">
        <v>44327</v>
      </c>
      <c r="H22" s="1">
        <v>43427</v>
      </c>
      <c r="I22" s="1">
        <v>44156</v>
      </c>
      <c r="J22" s="1">
        <v>43323</v>
      </c>
    </row>
    <row r="23" spans="1:10" x14ac:dyDescent="0.3">
      <c r="A23" t="s">
        <v>3781</v>
      </c>
      <c r="B23" t="s">
        <v>2455</v>
      </c>
      <c r="C23" t="s">
        <v>2755</v>
      </c>
      <c r="D23" t="s">
        <v>189</v>
      </c>
      <c r="E23" t="s">
        <v>228</v>
      </c>
      <c r="F23" t="s">
        <v>4395</v>
      </c>
      <c r="G23" s="1">
        <v>44578</v>
      </c>
      <c r="H23" s="1">
        <v>43757</v>
      </c>
      <c r="I23" s="1">
        <v>43056</v>
      </c>
      <c r="J23" s="1">
        <v>43308</v>
      </c>
    </row>
    <row r="24" spans="1:10" x14ac:dyDescent="0.3">
      <c r="A24" t="s">
        <v>3782</v>
      </c>
      <c r="B24" t="s">
        <v>2456</v>
      </c>
      <c r="C24" t="s">
        <v>2756</v>
      </c>
      <c r="D24" t="s">
        <v>189</v>
      </c>
      <c r="E24" t="s">
        <v>201</v>
      </c>
      <c r="F24" t="s">
        <v>4393</v>
      </c>
      <c r="G24" s="1">
        <v>45776</v>
      </c>
      <c r="H24" t="s">
        <v>3956</v>
      </c>
      <c r="I24" s="1">
        <v>44761</v>
      </c>
      <c r="J24" s="1">
        <v>42779</v>
      </c>
    </row>
    <row r="25" spans="1:10" x14ac:dyDescent="0.3">
      <c r="A25" t="s">
        <v>3783</v>
      </c>
      <c r="B25" t="s">
        <v>2457</v>
      </c>
      <c r="C25" t="s">
        <v>2757</v>
      </c>
      <c r="D25" t="s">
        <v>189</v>
      </c>
      <c r="E25" t="s">
        <v>211</v>
      </c>
      <c r="F25" t="s">
        <v>4393</v>
      </c>
      <c r="G25" s="1">
        <v>44684</v>
      </c>
      <c r="H25" t="s">
        <v>3956</v>
      </c>
      <c r="I25" s="1">
        <v>43632</v>
      </c>
      <c r="J25" s="1">
        <v>46158</v>
      </c>
    </row>
    <row r="26" spans="1:10" x14ac:dyDescent="0.3">
      <c r="A26" t="s">
        <v>3784</v>
      </c>
      <c r="B26" t="s">
        <v>2458</v>
      </c>
      <c r="C26" t="s">
        <v>2758</v>
      </c>
      <c r="D26" t="s">
        <v>189</v>
      </c>
      <c r="E26" t="s">
        <v>244</v>
      </c>
      <c r="F26" t="s">
        <v>4393</v>
      </c>
      <c r="G26" s="1">
        <v>44055</v>
      </c>
      <c r="H26" s="1">
        <v>42596</v>
      </c>
      <c r="I26" s="1">
        <v>43689</v>
      </c>
      <c r="J26" s="1">
        <v>44246</v>
      </c>
    </row>
    <row r="27" spans="1:10" x14ac:dyDescent="0.3">
      <c r="A27" t="s">
        <v>3785</v>
      </c>
      <c r="B27" t="s">
        <v>2459</v>
      </c>
      <c r="C27" t="s">
        <v>2759</v>
      </c>
      <c r="D27" t="s">
        <v>189</v>
      </c>
      <c r="E27" t="s">
        <v>245</v>
      </c>
      <c r="F27" t="s">
        <v>4394</v>
      </c>
      <c r="G27" s="1">
        <v>44253</v>
      </c>
      <c r="H27" s="1">
        <v>43638</v>
      </c>
      <c r="I27" s="1">
        <v>44679</v>
      </c>
      <c r="J27" s="1">
        <v>42899</v>
      </c>
    </row>
    <row r="28" spans="1:10" x14ac:dyDescent="0.3">
      <c r="A28" t="s">
        <v>3786</v>
      </c>
      <c r="B28" t="s">
        <v>2466</v>
      </c>
      <c r="C28" t="s">
        <v>2766</v>
      </c>
      <c r="D28" t="s">
        <v>189</v>
      </c>
      <c r="E28" t="s">
        <v>211</v>
      </c>
      <c r="F28" t="s">
        <v>4393</v>
      </c>
      <c r="G28" s="1">
        <v>43970</v>
      </c>
      <c r="H28" s="1">
        <v>45134</v>
      </c>
      <c r="I28" s="1">
        <v>42808</v>
      </c>
      <c r="J28" s="1">
        <v>43645</v>
      </c>
    </row>
    <row r="29" spans="1:10" x14ac:dyDescent="0.3">
      <c r="A29" t="s">
        <v>3787</v>
      </c>
      <c r="B29" t="s">
        <v>2469</v>
      </c>
      <c r="C29" t="s">
        <v>2769</v>
      </c>
      <c r="D29" t="s">
        <v>189</v>
      </c>
      <c r="E29" t="s">
        <v>229</v>
      </c>
      <c r="F29" t="s">
        <v>4395</v>
      </c>
      <c r="G29" s="1">
        <v>43496</v>
      </c>
      <c r="H29" t="s">
        <v>3956</v>
      </c>
      <c r="I29" s="1">
        <v>44126</v>
      </c>
      <c r="J29" s="1">
        <v>44056</v>
      </c>
    </row>
    <row r="30" spans="1:10" x14ac:dyDescent="0.3">
      <c r="A30" t="s">
        <v>3788</v>
      </c>
      <c r="B30" t="s">
        <v>2471</v>
      </c>
      <c r="C30" t="s">
        <v>2771</v>
      </c>
      <c r="D30" t="s">
        <v>189</v>
      </c>
      <c r="E30" t="s">
        <v>209</v>
      </c>
      <c r="F30" t="s">
        <v>4392</v>
      </c>
      <c r="G30" s="1">
        <v>42882</v>
      </c>
      <c r="H30" t="s">
        <v>3956</v>
      </c>
      <c r="I30" s="1">
        <v>43361</v>
      </c>
      <c r="J30" s="1">
        <v>44338</v>
      </c>
    </row>
    <row r="31" spans="1:10" x14ac:dyDescent="0.3">
      <c r="A31" t="s">
        <v>3789</v>
      </c>
      <c r="B31" t="s">
        <v>2472</v>
      </c>
      <c r="C31" t="s">
        <v>2772</v>
      </c>
      <c r="D31" t="s">
        <v>189</v>
      </c>
      <c r="E31" t="s">
        <v>217</v>
      </c>
      <c r="F31" t="s">
        <v>4394</v>
      </c>
      <c r="G31" s="1">
        <v>46108</v>
      </c>
      <c r="H31" t="s">
        <v>3956</v>
      </c>
      <c r="I31" s="1">
        <v>45074</v>
      </c>
      <c r="J31" s="1">
        <v>44008</v>
      </c>
    </row>
    <row r="32" spans="1:10" x14ac:dyDescent="0.3">
      <c r="A32" t="s">
        <v>3790</v>
      </c>
      <c r="B32" t="s">
        <v>2473</v>
      </c>
      <c r="C32" t="s">
        <v>2773</v>
      </c>
      <c r="D32" t="s">
        <v>189</v>
      </c>
      <c r="E32" t="s">
        <v>216</v>
      </c>
      <c r="F32" t="s">
        <v>4393</v>
      </c>
      <c r="G32" s="1">
        <v>45839</v>
      </c>
      <c r="H32" s="1">
        <v>42895</v>
      </c>
      <c r="I32" s="1">
        <v>45356</v>
      </c>
      <c r="J32" s="1">
        <v>45845</v>
      </c>
    </row>
    <row r="33" spans="1:10" x14ac:dyDescent="0.3">
      <c r="A33" t="s">
        <v>3791</v>
      </c>
      <c r="B33" t="s">
        <v>2474</v>
      </c>
      <c r="C33" t="s">
        <v>2774</v>
      </c>
      <c r="D33" t="s">
        <v>189</v>
      </c>
      <c r="E33" t="s">
        <v>215</v>
      </c>
      <c r="F33" t="s">
        <v>4393</v>
      </c>
      <c r="G33" s="1">
        <v>44474</v>
      </c>
      <c r="H33" t="s">
        <v>3956</v>
      </c>
      <c r="I33" s="1">
        <v>45872</v>
      </c>
      <c r="J33" s="1">
        <v>44115</v>
      </c>
    </row>
    <row r="34" spans="1:10" x14ac:dyDescent="0.3">
      <c r="A34" t="s">
        <v>3792</v>
      </c>
      <c r="B34" t="s">
        <v>2475</v>
      </c>
      <c r="C34" t="s">
        <v>2775</v>
      </c>
      <c r="D34" t="s">
        <v>189</v>
      </c>
      <c r="E34" t="s">
        <v>245</v>
      </c>
      <c r="F34" t="s">
        <v>4395</v>
      </c>
      <c r="G34" s="1">
        <v>43837</v>
      </c>
      <c r="H34" s="1">
        <v>45514</v>
      </c>
      <c r="I34" s="1">
        <v>45471</v>
      </c>
      <c r="J34" s="1">
        <v>43337</v>
      </c>
    </row>
    <row r="35" spans="1:10" x14ac:dyDescent="0.3">
      <c r="A35" t="s">
        <v>3793</v>
      </c>
      <c r="B35" t="s">
        <v>2476</v>
      </c>
      <c r="C35" t="s">
        <v>2776</v>
      </c>
      <c r="D35" t="s">
        <v>189</v>
      </c>
      <c r="E35" t="s">
        <v>201</v>
      </c>
      <c r="F35" t="s">
        <v>4395</v>
      </c>
      <c r="G35" s="1">
        <v>44989</v>
      </c>
      <c r="H35" s="1">
        <v>44276</v>
      </c>
      <c r="I35" s="1">
        <v>42942</v>
      </c>
      <c r="J35" s="1">
        <v>45586</v>
      </c>
    </row>
    <row r="36" spans="1:10" x14ac:dyDescent="0.3">
      <c r="A36" t="s">
        <v>3794</v>
      </c>
      <c r="B36" t="s">
        <v>2477</v>
      </c>
      <c r="C36" t="s">
        <v>2777</v>
      </c>
      <c r="D36" t="s">
        <v>189</v>
      </c>
      <c r="E36" t="s">
        <v>205</v>
      </c>
      <c r="F36" t="s">
        <v>4393</v>
      </c>
      <c r="G36" s="1">
        <v>42758</v>
      </c>
      <c r="H36" t="s">
        <v>3956</v>
      </c>
      <c r="I36" s="1">
        <v>45779</v>
      </c>
      <c r="J36" s="1">
        <v>44732</v>
      </c>
    </row>
    <row r="37" spans="1:10" x14ac:dyDescent="0.3">
      <c r="A37" t="s">
        <v>3795</v>
      </c>
      <c r="B37" t="s">
        <v>2478</v>
      </c>
      <c r="C37" t="s">
        <v>2778</v>
      </c>
      <c r="D37" t="s">
        <v>189</v>
      </c>
      <c r="E37" t="s">
        <v>241</v>
      </c>
      <c r="F37" t="s">
        <v>4395</v>
      </c>
      <c r="G37" s="1">
        <v>43657</v>
      </c>
      <c r="H37" s="1">
        <v>46220</v>
      </c>
      <c r="I37" s="1">
        <v>42658</v>
      </c>
      <c r="J37" s="1">
        <v>45010</v>
      </c>
    </row>
    <row r="38" spans="1:10" x14ac:dyDescent="0.3">
      <c r="A38" t="s">
        <v>3796</v>
      </c>
      <c r="B38" t="s">
        <v>2479</v>
      </c>
      <c r="C38" t="s">
        <v>2779</v>
      </c>
      <c r="D38" t="s">
        <v>189</v>
      </c>
      <c r="E38" t="s">
        <v>219</v>
      </c>
      <c r="F38" t="s">
        <v>4393</v>
      </c>
      <c r="G38" s="1">
        <v>43228</v>
      </c>
      <c r="H38" t="s">
        <v>3956</v>
      </c>
      <c r="I38" s="1">
        <v>46189</v>
      </c>
      <c r="J38" s="1">
        <v>45548</v>
      </c>
    </row>
    <row r="39" spans="1:10" x14ac:dyDescent="0.3">
      <c r="A39" t="s">
        <v>3797</v>
      </c>
      <c r="B39" t="s">
        <v>2480</v>
      </c>
      <c r="C39" t="s">
        <v>2780</v>
      </c>
      <c r="D39" t="s">
        <v>189</v>
      </c>
      <c r="E39" t="s">
        <v>204</v>
      </c>
      <c r="F39" t="s">
        <v>4393</v>
      </c>
      <c r="G39" s="1">
        <v>44503</v>
      </c>
      <c r="H39" t="s">
        <v>3956</v>
      </c>
      <c r="I39" s="1">
        <v>44562</v>
      </c>
      <c r="J39" s="1">
        <v>45447</v>
      </c>
    </row>
    <row r="40" spans="1:10" x14ac:dyDescent="0.3">
      <c r="A40" t="s">
        <v>3798</v>
      </c>
      <c r="B40" t="s">
        <v>2481</v>
      </c>
      <c r="C40" t="s">
        <v>2781</v>
      </c>
      <c r="D40" t="s">
        <v>189</v>
      </c>
      <c r="E40" t="s">
        <v>224</v>
      </c>
      <c r="F40" t="s">
        <v>4395</v>
      </c>
      <c r="G40" s="1">
        <v>46166</v>
      </c>
      <c r="H40" t="s">
        <v>3956</v>
      </c>
      <c r="I40" s="1">
        <v>45347</v>
      </c>
      <c r="J40" s="1">
        <v>45846</v>
      </c>
    </row>
    <row r="41" spans="1:10" x14ac:dyDescent="0.3">
      <c r="A41" t="s">
        <v>3799</v>
      </c>
      <c r="B41" t="s">
        <v>2482</v>
      </c>
      <c r="C41" t="s">
        <v>2782</v>
      </c>
      <c r="D41" t="s">
        <v>189</v>
      </c>
      <c r="E41" t="s">
        <v>229</v>
      </c>
      <c r="F41" t="s">
        <v>4394</v>
      </c>
      <c r="G41" s="1">
        <v>43850</v>
      </c>
      <c r="H41" t="s">
        <v>3956</v>
      </c>
      <c r="I41" s="1">
        <v>42691</v>
      </c>
      <c r="J41" s="1">
        <v>43316</v>
      </c>
    </row>
    <row r="42" spans="1:10" x14ac:dyDescent="0.3">
      <c r="A42" t="s">
        <v>3800</v>
      </c>
      <c r="B42" t="s">
        <v>2528</v>
      </c>
      <c r="C42" t="s">
        <v>2828</v>
      </c>
      <c r="D42" t="s">
        <v>189</v>
      </c>
      <c r="E42" t="s">
        <v>237</v>
      </c>
      <c r="F42" t="s">
        <v>4395</v>
      </c>
      <c r="G42" s="1">
        <v>43720</v>
      </c>
      <c r="H42" t="s">
        <v>3956</v>
      </c>
      <c r="I42" s="1">
        <v>43569</v>
      </c>
      <c r="J42" s="1">
        <v>43689</v>
      </c>
    </row>
    <row r="43" spans="1:10" x14ac:dyDescent="0.3">
      <c r="A43" t="s">
        <v>3801</v>
      </c>
      <c r="B43" t="s">
        <v>2529</v>
      </c>
      <c r="C43" t="s">
        <v>2829</v>
      </c>
      <c r="D43" t="s">
        <v>189</v>
      </c>
      <c r="E43" t="s">
        <v>219</v>
      </c>
      <c r="F43" t="s">
        <v>4392</v>
      </c>
      <c r="G43" s="1">
        <v>46212</v>
      </c>
      <c r="H43" s="1">
        <v>43053</v>
      </c>
      <c r="I43" s="1">
        <v>44974</v>
      </c>
      <c r="J43" s="1">
        <v>45823</v>
      </c>
    </row>
    <row r="44" spans="1:10" x14ac:dyDescent="0.3">
      <c r="A44" t="s">
        <v>3802</v>
      </c>
      <c r="B44" t="s">
        <v>2531</v>
      </c>
      <c r="C44" t="s">
        <v>2831</v>
      </c>
      <c r="D44" t="s">
        <v>189</v>
      </c>
      <c r="E44" t="s">
        <v>191</v>
      </c>
      <c r="F44" t="s">
        <v>4393</v>
      </c>
      <c r="G44" s="1">
        <v>42605</v>
      </c>
      <c r="H44" t="s">
        <v>3956</v>
      </c>
      <c r="I44" s="1">
        <v>44814</v>
      </c>
      <c r="J44" s="1">
        <v>44766</v>
      </c>
    </row>
    <row r="45" spans="1:10" x14ac:dyDescent="0.3">
      <c r="A45" t="s">
        <v>3803</v>
      </c>
      <c r="B45" t="s">
        <v>2532</v>
      </c>
      <c r="C45" t="s">
        <v>2832</v>
      </c>
      <c r="D45" t="s">
        <v>189</v>
      </c>
      <c r="E45" t="s">
        <v>237</v>
      </c>
      <c r="F45" t="s">
        <v>4392</v>
      </c>
      <c r="G45" s="1">
        <v>45835</v>
      </c>
      <c r="H45" t="s">
        <v>3956</v>
      </c>
      <c r="I45" s="1">
        <v>44534</v>
      </c>
      <c r="J45" s="1">
        <v>44801</v>
      </c>
    </row>
    <row r="46" spans="1:10" x14ac:dyDescent="0.3">
      <c r="A46" t="s">
        <v>3804</v>
      </c>
      <c r="B46" t="s">
        <v>2536</v>
      </c>
      <c r="C46" t="s">
        <v>2836</v>
      </c>
      <c r="D46" t="s">
        <v>189</v>
      </c>
      <c r="E46" t="s">
        <v>229</v>
      </c>
      <c r="F46" t="s">
        <v>4394</v>
      </c>
      <c r="G46" s="1">
        <v>42750</v>
      </c>
      <c r="H46" s="1">
        <v>43867</v>
      </c>
      <c r="I46" s="1">
        <v>44776</v>
      </c>
      <c r="J46" s="1">
        <v>45737</v>
      </c>
    </row>
    <row r="47" spans="1:10" x14ac:dyDescent="0.3">
      <c r="A47" t="s">
        <v>3805</v>
      </c>
      <c r="B47" t="s">
        <v>2538</v>
      </c>
      <c r="C47" t="s">
        <v>2838</v>
      </c>
      <c r="D47" t="s">
        <v>189</v>
      </c>
      <c r="E47" t="s">
        <v>216</v>
      </c>
      <c r="F47" t="s">
        <v>4395</v>
      </c>
      <c r="G47" s="1">
        <v>45213</v>
      </c>
      <c r="H47" t="s">
        <v>3956</v>
      </c>
      <c r="I47" s="1">
        <v>43188</v>
      </c>
      <c r="J47" s="1">
        <v>44668</v>
      </c>
    </row>
    <row r="48" spans="1:10" x14ac:dyDescent="0.3">
      <c r="A48" t="s">
        <v>3806</v>
      </c>
      <c r="B48" t="s">
        <v>2539</v>
      </c>
      <c r="C48" t="s">
        <v>2839</v>
      </c>
      <c r="D48" t="s">
        <v>189</v>
      </c>
      <c r="E48" t="s">
        <v>249</v>
      </c>
      <c r="F48" t="s">
        <v>4394</v>
      </c>
      <c r="G48" s="1">
        <v>44652</v>
      </c>
      <c r="H48" s="1">
        <v>43190</v>
      </c>
      <c r="I48" s="1">
        <v>44306</v>
      </c>
      <c r="J48" s="1">
        <v>44964</v>
      </c>
    </row>
    <row r="49" spans="1:10" x14ac:dyDescent="0.3">
      <c r="A49" t="s">
        <v>3807</v>
      </c>
      <c r="B49" t="s">
        <v>2541</v>
      </c>
      <c r="C49" t="s">
        <v>2841</v>
      </c>
      <c r="D49" t="s">
        <v>189</v>
      </c>
      <c r="E49" t="s">
        <v>193</v>
      </c>
      <c r="F49" t="s">
        <v>4395</v>
      </c>
      <c r="G49" s="1">
        <v>42686</v>
      </c>
      <c r="H49" s="1">
        <v>46120</v>
      </c>
      <c r="I49" s="1">
        <v>43318</v>
      </c>
      <c r="J49" s="1">
        <v>45286</v>
      </c>
    </row>
    <row r="50" spans="1:10" x14ac:dyDescent="0.3">
      <c r="A50" t="s">
        <v>3808</v>
      </c>
      <c r="B50" t="s">
        <v>2542</v>
      </c>
      <c r="C50" t="s">
        <v>2842</v>
      </c>
      <c r="D50" t="s">
        <v>189</v>
      </c>
      <c r="E50" t="s">
        <v>211</v>
      </c>
      <c r="F50" t="s">
        <v>4394</v>
      </c>
      <c r="G50" s="1">
        <v>45267</v>
      </c>
      <c r="H50" t="s">
        <v>3956</v>
      </c>
      <c r="I50" s="1">
        <v>42830</v>
      </c>
      <c r="J50" s="1">
        <v>44942</v>
      </c>
    </row>
    <row r="51" spans="1:10" x14ac:dyDescent="0.3">
      <c r="A51" t="s">
        <v>3809</v>
      </c>
      <c r="B51" t="s">
        <v>2543</v>
      </c>
      <c r="C51" t="s">
        <v>2843</v>
      </c>
      <c r="D51" t="s">
        <v>189</v>
      </c>
      <c r="E51" t="s">
        <v>212</v>
      </c>
      <c r="F51" t="s">
        <v>4393</v>
      </c>
      <c r="G51" s="1">
        <v>46233</v>
      </c>
      <c r="H51" s="1">
        <v>45969</v>
      </c>
      <c r="I51" s="1">
        <v>42841</v>
      </c>
      <c r="J51" s="1">
        <v>45056</v>
      </c>
    </row>
    <row r="52" spans="1:10" x14ac:dyDescent="0.3">
      <c r="A52" t="s">
        <v>3810</v>
      </c>
      <c r="B52" t="s">
        <v>2545</v>
      </c>
      <c r="C52" t="s">
        <v>2845</v>
      </c>
      <c r="D52" t="s">
        <v>189</v>
      </c>
      <c r="E52" t="s">
        <v>222</v>
      </c>
      <c r="F52" t="s">
        <v>4395</v>
      </c>
      <c r="G52" s="1">
        <v>44880</v>
      </c>
      <c r="H52" s="1">
        <v>43429</v>
      </c>
      <c r="I52" s="1">
        <v>44368</v>
      </c>
      <c r="J52" s="1">
        <v>42993</v>
      </c>
    </row>
    <row r="53" spans="1:10" x14ac:dyDescent="0.3">
      <c r="A53" t="s">
        <v>3811</v>
      </c>
      <c r="B53" t="s">
        <v>2548</v>
      </c>
      <c r="C53" t="s">
        <v>2848</v>
      </c>
      <c r="D53" t="s">
        <v>189</v>
      </c>
      <c r="E53" t="s">
        <v>229</v>
      </c>
      <c r="F53" t="s">
        <v>4393</v>
      </c>
      <c r="G53" s="1">
        <v>42982</v>
      </c>
      <c r="H53" t="s">
        <v>3956</v>
      </c>
      <c r="I53" s="1">
        <v>46182</v>
      </c>
      <c r="J53" s="1">
        <v>43734</v>
      </c>
    </row>
    <row r="54" spans="1:10" x14ac:dyDescent="0.3">
      <c r="A54" t="s">
        <v>3812</v>
      </c>
      <c r="B54" t="s">
        <v>2549</v>
      </c>
      <c r="C54" t="s">
        <v>2849</v>
      </c>
      <c r="D54" t="s">
        <v>189</v>
      </c>
      <c r="E54" t="s">
        <v>230</v>
      </c>
      <c r="F54" t="s">
        <v>4393</v>
      </c>
      <c r="G54" s="1">
        <v>45954</v>
      </c>
      <c r="H54" t="s">
        <v>3956</v>
      </c>
      <c r="I54" s="1">
        <v>43165</v>
      </c>
      <c r="J54" s="1">
        <v>43181</v>
      </c>
    </row>
    <row r="55" spans="1:10" x14ac:dyDescent="0.3">
      <c r="A55" t="s">
        <v>3813</v>
      </c>
      <c r="B55" t="s">
        <v>2550</v>
      </c>
      <c r="C55" t="s">
        <v>2850</v>
      </c>
      <c r="D55" t="s">
        <v>189</v>
      </c>
      <c r="E55" t="s">
        <v>190</v>
      </c>
      <c r="F55" t="s">
        <v>4393</v>
      </c>
      <c r="G55" s="1">
        <v>43205</v>
      </c>
      <c r="H55" s="1">
        <v>44157</v>
      </c>
      <c r="I55" s="1">
        <v>43837</v>
      </c>
      <c r="J55" s="1">
        <v>45053</v>
      </c>
    </row>
    <row r="56" spans="1:10" x14ac:dyDescent="0.3">
      <c r="A56" t="s">
        <v>3814</v>
      </c>
      <c r="B56" t="s">
        <v>2551</v>
      </c>
      <c r="C56" t="s">
        <v>2851</v>
      </c>
      <c r="D56" t="s">
        <v>189</v>
      </c>
      <c r="E56" t="s">
        <v>227</v>
      </c>
      <c r="F56" t="s">
        <v>4392</v>
      </c>
      <c r="G56" s="1">
        <v>43173</v>
      </c>
      <c r="H56" t="s">
        <v>3956</v>
      </c>
      <c r="I56" s="1">
        <v>46153</v>
      </c>
      <c r="J56" s="1">
        <v>45525</v>
      </c>
    </row>
    <row r="57" spans="1:10" x14ac:dyDescent="0.3">
      <c r="A57" t="s">
        <v>3815</v>
      </c>
      <c r="B57" t="s">
        <v>2554</v>
      </c>
      <c r="C57" t="s">
        <v>2854</v>
      </c>
      <c r="D57" t="s">
        <v>189</v>
      </c>
      <c r="E57" t="s">
        <v>219</v>
      </c>
      <c r="F57" t="s">
        <v>4393</v>
      </c>
      <c r="G57" s="1">
        <v>43724</v>
      </c>
      <c r="H57" s="1">
        <v>45714</v>
      </c>
      <c r="I57" s="1">
        <v>44381</v>
      </c>
      <c r="J57" s="1">
        <v>46054</v>
      </c>
    </row>
    <row r="58" spans="1:10" x14ac:dyDescent="0.3">
      <c r="A58" t="s">
        <v>3816</v>
      </c>
      <c r="B58" t="s">
        <v>2558</v>
      </c>
      <c r="C58" t="s">
        <v>2858</v>
      </c>
      <c r="D58" t="s">
        <v>189</v>
      </c>
      <c r="E58" t="s">
        <v>216</v>
      </c>
      <c r="F58" t="s">
        <v>4394</v>
      </c>
      <c r="G58" s="1">
        <v>44124</v>
      </c>
      <c r="H58" t="s">
        <v>3956</v>
      </c>
      <c r="I58" s="1">
        <v>44637</v>
      </c>
      <c r="J58" s="1">
        <v>44203</v>
      </c>
    </row>
    <row r="59" spans="1:10" x14ac:dyDescent="0.3">
      <c r="A59" t="s">
        <v>3817</v>
      </c>
      <c r="B59" t="s">
        <v>2561</v>
      </c>
      <c r="C59" t="s">
        <v>2861</v>
      </c>
      <c r="D59" t="s">
        <v>189</v>
      </c>
      <c r="E59" t="s">
        <v>198</v>
      </c>
      <c r="F59" t="s">
        <v>4394</v>
      </c>
      <c r="G59" s="1">
        <v>45507</v>
      </c>
      <c r="H59" s="1">
        <v>44056</v>
      </c>
      <c r="I59" s="1">
        <v>43472</v>
      </c>
      <c r="J59" s="1">
        <v>43217</v>
      </c>
    </row>
    <row r="60" spans="1:10" x14ac:dyDescent="0.3">
      <c r="A60" t="s">
        <v>3818</v>
      </c>
      <c r="B60" t="s">
        <v>2562</v>
      </c>
      <c r="C60" t="s">
        <v>2862</v>
      </c>
      <c r="D60" t="s">
        <v>189</v>
      </c>
      <c r="E60" t="s">
        <v>248</v>
      </c>
      <c r="F60" t="s">
        <v>4392</v>
      </c>
      <c r="G60" s="1">
        <v>43685</v>
      </c>
      <c r="H60" t="s">
        <v>3956</v>
      </c>
      <c r="I60" s="1">
        <v>45630</v>
      </c>
      <c r="J60" s="1">
        <v>42671</v>
      </c>
    </row>
    <row r="61" spans="1:10" x14ac:dyDescent="0.3">
      <c r="A61" t="s">
        <v>3819</v>
      </c>
      <c r="B61" t="s">
        <v>2563</v>
      </c>
      <c r="C61" t="s">
        <v>2863</v>
      </c>
      <c r="D61" t="s">
        <v>189</v>
      </c>
      <c r="E61" t="s">
        <v>193</v>
      </c>
      <c r="F61" t="s">
        <v>4393</v>
      </c>
      <c r="G61" s="1">
        <v>44425</v>
      </c>
      <c r="H61" t="s">
        <v>3956</v>
      </c>
      <c r="I61" s="1">
        <v>44171</v>
      </c>
      <c r="J61" s="1">
        <v>44088</v>
      </c>
    </row>
    <row r="62" spans="1:10" x14ac:dyDescent="0.3">
      <c r="A62" t="s">
        <v>3820</v>
      </c>
      <c r="B62" t="s">
        <v>2566</v>
      </c>
      <c r="C62" t="s">
        <v>2866</v>
      </c>
      <c r="D62" t="s">
        <v>189</v>
      </c>
      <c r="E62" t="s">
        <v>213</v>
      </c>
      <c r="F62" t="s">
        <v>4392</v>
      </c>
      <c r="G62" s="1">
        <v>45543</v>
      </c>
      <c r="H62" s="1">
        <v>42635</v>
      </c>
      <c r="I62" s="1">
        <v>43537</v>
      </c>
      <c r="J62" s="1">
        <v>43827</v>
      </c>
    </row>
    <row r="63" spans="1:10" x14ac:dyDescent="0.3">
      <c r="A63" t="s">
        <v>3821</v>
      </c>
      <c r="B63" t="s">
        <v>2567</v>
      </c>
      <c r="C63" t="s">
        <v>2867</v>
      </c>
      <c r="D63" t="s">
        <v>189</v>
      </c>
      <c r="E63" t="s">
        <v>247</v>
      </c>
      <c r="F63" t="s">
        <v>4394</v>
      </c>
      <c r="G63" s="1">
        <v>45663</v>
      </c>
      <c r="H63" t="s">
        <v>3956</v>
      </c>
      <c r="I63" s="1">
        <v>44280</v>
      </c>
      <c r="J63" s="1">
        <v>44554</v>
      </c>
    </row>
    <row r="64" spans="1:10" x14ac:dyDescent="0.3">
      <c r="A64" t="s">
        <v>3822</v>
      </c>
      <c r="B64" t="s">
        <v>2570</v>
      </c>
      <c r="C64" t="s">
        <v>2870</v>
      </c>
      <c r="D64" t="s">
        <v>189</v>
      </c>
      <c r="E64" t="s">
        <v>218</v>
      </c>
      <c r="F64" t="s">
        <v>4395</v>
      </c>
      <c r="G64" s="1">
        <v>43755</v>
      </c>
      <c r="H64" s="1">
        <v>45793</v>
      </c>
      <c r="I64" s="1">
        <v>45858</v>
      </c>
      <c r="J64" s="1">
        <v>46085</v>
      </c>
    </row>
    <row r="65" spans="1:10" x14ac:dyDescent="0.3">
      <c r="A65" t="s">
        <v>3823</v>
      </c>
      <c r="B65" t="s">
        <v>2571</v>
      </c>
      <c r="C65" t="s">
        <v>2871</v>
      </c>
      <c r="D65" t="s">
        <v>189</v>
      </c>
      <c r="E65" t="s">
        <v>244</v>
      </c>
      <c r="F65" t="s">
        <v>4392</v>
      </c>
      <c r="G65" s="1">
        <v>45593</v>
      </c>
      <c r="H65" s="1">
        <v>43724</v>
      </c>
      <c r="I65" s="1">
        <v>43263</v>
      </c>
      <c r="J65" s="1">
        <v>45537</v>
      </c>
    </row>
    <row r="66" spans="1:10" x14ac:dyDescent="0.3">
      <c r="A66" t="s">
        <v>3824</v>
      </c>
      <c r="B66" t="s">
        <v>2574</v>
      </c>
      <c r="C66" t="s">
        <v>2874</v>
      </c>
      <c r="D66" t="s">
        <v>189</v>
      </c>
      <c r="E66" t="s">
        <v>231</v>
      </c>
      <c r="F66" t="s">
        <v>4392</v>
      </c>
      <c r="G66" s="1">
        <v>43981</v>
      </c>
      <c r="H66" s="1">
        <v>42939</v>
      </c>
      <c r="I66" s="1">
        <v>46113</v>
      </c>
      <c r="J66" s="1">
        <v>44449</v>
      </c>
    </row>
    <row r="67" spans="1:10" x14ac:dyDescent="0.3">
      <c r="A67" t="s">
        <v>3825</v>
      </c>
      <c r="B67" t="s">
        <v>2575</v>
      </c>
      <c r="C67" t="s">
        <v>2875</v>
      </c>
      <c r="D67" t="s">
        <v>189</v>
      </c>
      <c r="E67" t="s">
        <v>242</v>
      </c>
      <c r="F67" t="s">
        <v>4392</v>
      </c>
      <c r="G67" s="1">
        <v>44255</v>
      </c>
      <c r="H67" t="s">
        <v>3956</v>
      </c>
      <c r="I67" s="1">
        <v>44094</v>
      </c>
      <c r="J67" s="1">
        <v>42854</v>
      </c>
    </row>
    <row r="68" spans="1:10" x14ac:dyDescent="0.3">
      <c r="A68" t="s">
        <v>3826</v>
      </c>
      <c r="B68" t="s">
        <v>2576</v>
      </c>
      <c r="C68" t="s">
        <v>2876</v>
      </c>
      <c r="D68" t="s">
        <v>189</v>
      </c>
      <c r="E68" t="s">
        <v>236</v>
      </c>
      <c r="F68" t="s">
        <v>4393</v>
      </c>
      <c r="G68" s="1">
        <v>44304</v>
      </c>
      <c r="H68" t="s">
        <v>3956</v>
      </c>
      <c r="I68" s="1">
        <v>43080</v>
      </c>
      <c r="J68" s="1">
        <v>42745</v>
      </c>
    </row>
    <row r="69" spans="1:10" x14ac:dyDescent="0.3">
      <c r="A69" t="s">
        <v>3827</v>
      </c>
      <c r="B69" t="s">
        <v>2577</v>
      </c>
      <c r="C69" t="s">
        <v>2877</v>
      </c>
      <c r="D69" t="s">
        <v>189</v>
      </c>
      <c r="E69" t="s">
        <v>230</v>
      </c>
      <c r="F69" t="s">
        <v>4394</v>
      </c>
      <c r="G69" s="1">
        <v>44540</v>
      </c>
      <c r="H69" s="1">
        <v>44563</v>
      </c>
      <c r="I69" s="1">
        <v>45655</v>
      </c>
      <c r="J69" s="1">
        <v>45680</v>
      </c>
    </row>
    <row r="70" spans="1:10" x14ac:dyDescent="0.3">
      <c r="A70" t="s">
        <v>3828</v>
      </c>
      <c r="B70" t="s">
        <v>2578</v>
      </c>
      <c r="C70" t="s">
        <v>2878</v>
      </c>
      <c r="D70" t="s">
        <v>189</v>
      </c>
      <c r="E70" t="s">
        <v>219</v>
      </c>
      <c r="F70" t="s">
        <v>4393</v>
      </c>
      <c r="G70" s="1">
        <v>46183</v>
      </c>
      <c r="H70" s="1">
        <v>43148</v>
      </c>
      <c r="I70" s="1">
        <v>43992</v>
      </c>
      <c r="J70" s="1">
        <v>43373</v>
      </c>
    </row>
    <row r="71" spans="1:10" x14ac:dyDescent="0.3">
      <c r="A71" t="s">
        <v>3829</v>
      </c>
      <c r="B71" t="s">
        <v>2582</v>
      </c>
      <c r="C71" t="s">
        <v>2882</v>
      </c>
      <c r="D71" t="s">
        <v>189</v>
      </c>
      <c r="E71" t="s">
        <v>191</v>
      </c>
      <c r="F71" t="s">
        <v>4392</v>
      </c>
      <c r="G71" s="1">
        <v>43586</v>
      </c>
      <c r="H71" t="s">
        <v>3956</v>
      </c>
      <c r="I71" s="1">
        <v>44120</v>
      </c>
      <c r="J71" s="1">
        <v>44398</v>
      </c>
    </row>
    <row r="72" spans="1:10" x14ac:dyDescent="0.3">
      <c r="A72" t="s">
        <v>3830</v>
      </c>
      <c r="B72" t="s">
        <v>2584</v>
      </c>
      <c r="C72" t="s">
        <v>2884</v>
      </c>
      <c r="D72" t="s">
        <v>189</v>
      </c>
      <c r="E72" t="s">
        <v>193</v>
      </c>
      <c r="F72" t="s">
        <v>4395</v>
      </c>
      <c r="G72" s="1">
        <v>46221</v>
      </c>
      <c r="H72" s="1">
        <v>44260</v>
      </c>
      <c r="I72" s="1">
        <v>43609</v>
      </c>
      <c r="J72" s="1">
        <v>42995</v>
      </c>
    </row>
    <row r="73" spans="1:10" x14ac:dyDescent="0.3">
      <c r="A73" t="s">
        <v>3831</v>
      </c>
      <c r="B73" t="s">
        <v>2585</v>
      </c>
      <c r="C73" t="s">
        <v>2885</v>
      </c>
      <c r="D73" t="s">
        <v>189</v>
      </c>
      <c r="E73" t="s">
        <v>198</v>
      </c>
      <c r="F73" t="s">
        <v>4393</v>
      </c>
      <c r="G73" s="1">
        <v>43974</v>
      </c>
      <c r="H73" s="1">
        <v>46043</v>
      </c>
      <c r="I73" s="1">
        <v>43603</v>
      </c>
      <c r="J73" s="1">
        <v>44443</v>
      </c>
    </row>
    <row r="74" spans="1:10" x14ac:dyDescent="0.3">
      <c r="A74" t="s">
        <v>3832</v>
      </c>
      <c r="B74" t="s">
        <v>2587</v>
      </c>
      <c r="C74" t="s">
        <v>2887</v>
      </c>
      <c r="D74" t="s">
        <v>189</v>
      </c>
      <c r="E74" t="s">
        <v>197</v>
      </c>
      <c r="F74" t="s">
        <v>4394</v>
      </c>
      <c r="G74" s="1">
        <v>42748</v>
      </c>
      <c r="H74" t="s">
        <v>3956</v>
      </c>
      <c r="I74" s="1">
        <v>42753</v>
      </c>
      <c r="J74" s="1">
        <v>43483</v>
      </c>
    </row>
    <row r="75" spans="1:10" x14ac:dyDescent="0.3">
      <c r="A75" t="s">
        <v>3833</v>
      </c>
      <c r="B75" t="s">
        <v>2589</v>
      </c>
      <c r="C75" t="s">
        <v>2889</v>
      </c>
      <c r="D75" t="s">
        <v>189</v>
      </c>
      <c r="E75" t="s">
        <v>230</v>
      </c>
      <c r="F75" t="s">
        <v>4395</v>
      </c>
      <c r="G75" s="1">
        <v>42702</v>
      </c>
      <c r="H75" t="s">
        <v>3956</v>
      </c>
      <c r="I75" s="1">
        <v>42877</v>
      </c>
      <c r="J75" s="1">
        <v>42884</v>
      </c>
    </row>
    <row r="76" spans="1:10" x14ac:dyDescent="0.3">
      <c r="A76" t="s">
        <v>3834</v>
      </c>
      <c r="B76" t="s">
        <v>2593</v>
      </c>
      <c r="C76" t="s">
        <v>2893</v>
      </c>
      <c r="D76" t="s">
        <v>189</v>
      </c>
      <c r="E76" t="s">
        <v>231</v>
      </c>
      <c r="F76" t="s">
        <v>4393</v>
      </c>
      <c r="G76" s="1">
        <v>42703</v>
      </c>
      <c r="H76" s="1">
        <v>42697</v>
      </c>
      <c r="I76" s="1">
        <v>44472</v>
      </c>
      <c r="J76" s="1">
        <v>43057</v>
      </c>
    </row>
    <row r="77" spans="1:10" x14ac:dyDescent="0.3">
      <c r="A77" t="s">
        <v>3835</v>
      </c>
      <c r="B77" t="s">
        <v>2595</v>
      </c>
      <c r="C77" t="s">
        <v>2895</v>
      </c>
      <c r="D77" t="s">
        <v>189</v>
      </c>
      <c r="E77" t="s">
        <v>202</v>
      </c>
      <c r="F77" t="s">
        <v>4395</v>
      </c>
      <c r="G77" s="1">
        <v>45344</v>
      </c>
      <c r="H77" s="1">
        <v>45596</v>
      </c>
      <c r="I77" s="1">
        <v>44066</v>
      </c>
      <c r="J77" s="1">
        <v>43112</v>
      </c>
    </row>
    <row r="78" spans="1:10" x14ac:dyDescent="0.3">
      <c r="A78" t="s">
        <v>3836</v>
      </c>
      <c r="B78" t="s">
        <v>2597</v>
      </c>
      <c r="C78" t="s">
        <v>2897</v>
      </c>
      <c r="D78" t="s">
        <v>189</v>
      </c>
      <c r="E78" t="s">
        <v>216</v>
      </c>
      <c r="F78" t="s">
        <v>4392</v>
      </c>
      <c r="G78" s="1">
        <v>42830</v>
      </c>
      <c r="H78" s="1">
        <v>43953</v>
      </c>
      <c r="I78" s="1">
        <v>43505</v>
      </c>
      <c r="J78" s="1">
        <v>45940</v>
      </c>
    </row>
    <row r="79" spans="1:10" x14ac:dyDescent="0.3">
      <c r="A79" t="s">
        <v>3837</v>
      </c>
      <c r="B79" t="s">
        <v>2598</v>
      </c>
      <c r="C79" t="s">
        <v>2898</v>
      </c>
      <c r="D79" t="s">
        <v>189</v>
      </c>
      <c r="E79" t="s">
        <v>202</v>
      </c>
      <c r="F79" t="s">
        <v>4392</v>
      </c>
      <c r="G79" s="1">
        <v>44076</v>
      </c>
      <c r="H79" t="s">
        <v>3956</v>
      </c>
      <c r="I79" s="1">
        <v>43327</v>
      </c>
      <c r="J79" s="1">
        <v>45139</v>
      </c>
    </row>
    <row r="80" spans="1:10" x14ac:dyDescent="0.3">
      <c r="A80" t="s">
        <v>3838</v>
      </c>
      <c r="B80" t="s">
        <v>2599</v>
      </c>
      <c r="C80" t="s">
        <v>2899</v>
      </c>
      <c r="D80" t="s">
        <v>189</v>
      </c>
      <c r="E80" t="s">
        <v>235</v>
      </c>
      <c r="F80" t="s">
        <v>4394</v>
      </c>
      <c r="G80" s="1">
        <v>42978</v>
      </c>
      <c r="H80" s="1">
        <v>43077</v>
      </c>
      <c r="I80" s="1">
        <v>46187</v>
      </c>
      <c r="J80" s="1">
        <v>43125</v>
      </c>
    </row>
    <row r="81" spans="1:10" x14ac:dyDescent="0.3">
      <c r="A81" t="s">
        <v>3839</v>
      </c>
      <c r="B81" t="s">
        <v>2603</v>
      </c>
      <c r="C81" t="s">
        <v>2903</v>
      </c>
      <c r="D81" t="s">
        <v>189</v>
      </c>
      <c r="E81" t="s">
        <v>230</v>
      </c>
      <c r="F81" t="s">
        <v>4392</v>
      </c>
      <c r="G81" s="1">
        <v>44122</v>
      </c>
      <c r="H81" s="1">
        <v>44706</v>
      </c>
      <c r="I81" s="1">
        <v>45748</v>
      </c>
      <c r="J81" s="1">
        <v>45937</v>
      </c>
    </row>
    <row r="82" spans="1:10" x14ac:dyDescent="0.3">
      <c r="A82" t="s">
        <v>3840</v>
      </c>
      <c r="B82" t="s">
        <v>2607</v>
      </c>
      <c r="C82" t="s">
        <v>2907</v>
      </c>
      <c r="D82" t="s">
        <v>189</v>
      </c>
      <c r="E82" t="s">
        <v>192</v>
      </c>
      <c r="F82" t="s">
        <v>4393</v>
      </c>
      <c r="G82" s="1">
        <v>43108</v>
      </c>
      <c r="H82" s="1">
        <v>45779</v>
      </c>
      <c r="I82" s="1">
        <v>43275</v>
      </c>
      <c r="J82" s="1">
        <v>42826</v>
      </c>
    </row>
    <row r="83" spans="1:10" x14ac:dyDescent="0.3">
      <c r="A83" t="s">
        <v>3841</v>
      </c>
      <c r="B83" t="s">
        <v>2608</v>
      </c>
      <c r="C83" t="s">
        <v>2908</v>
      </c>
      <c r="D83" t="s">
        <v>189</v>
      </c>
      <c r="E83" t="s">
        <v>203</v>
      </c>
      <c r="F83" t="s">
        <v>4394</v>
      </c>
      <c r="G83" s="1">
        <v>43917</v>
      </c>
      <c r="H83" t="s">
        <v>3956</v>
      </c>
      <c r="I83" s="1">
        <v>44284</v>
      </c>
      <c r="J83" s="1">
        <v>43916</v>
      </c>
    </row>
    <row r="84" spans="1:10" x14ac:dyDescent="0.3">
      <c r="A84" t="s">
        <v>3842</v>
      </c>
      <c r="B84" t="s">
        <v>2609</v>
      </c>
      <c r="C84" t="s">
        <v>2909</v>
      </c>
      <c r="D84" t="s">
        <v>189</v>
      </c>
      <c r="E84" t="s">
        <v>222</v>
      </c>
      <c r="F84" t="s">
        <v>4394</v>
      </c>
      <c r="G84" s="1">
        <v>45051</v>
      </c>
      <c r="H84" t="s">
        <v>3956</v>
      </c>
      <c r="I84" s="1">
        <v>45432</v>
      </c>
      <c r="J84" s="1">
        <v>45024</v>
      </c>
    </row>
    <row r="85" spans="1:10" x14ac:dyDescent="0.3">
      <c r="A85" t="s">
        <v>3843</v>
      </c>
      <c r="B85" t="s">
        <v>2611</v>
      </c>
      <c r="C85" t="s">
        <v>2911</v>
      </c>
      <c r="D85" t="s">
        <v>189</v>
      </c>
      <c r="E85" t="s">
        <v>195</v>
      </c>
      <c r="F85" t="s">
        <v>4394</v>
      </c>
      <c r="G85" s="1">
        <v>44260</v>
      </c>
      <c r="H85" s="1">
        <v>45285</v>
      </c>
      <c r="I85" s="1">
        <v>46057</v>
      </c>
      <c r="J85" s="1">
        <v>46083</v>
      </c>
    </row>
    <row r="86" spans="1:10" x14ac:dyDescent="0.3">
      <c r="A86" t="s">
        <v>3844</v>
      </c>
      <c r="B86" t="s">
        <v>2612</v>
      </c>
      <c r="C86" t="s">
        <v>2912</v>
      </c>
      <c r="D86" t="s">
        <v>189</v>
      </c>
      <c r="E86" t="s">
        <v>196</v>
      </c>
      <c r="F86" t="s">
        <v>4393</v>
      </c>
      <c r="G86" s="1">
        <v>45109</v>
      </c>
      <c r="H86" s="1">
        <v>43262</v>
      </c>
      <c r="I86" s="1">
        <v>43574</v>
      </c>
      <c r="J86" s="1">
        <v>44475</v>
      </c>
    </row>
    <row r="87" spans="1:10" x14ac:dyDescent="0.3">
      <c r="A87" t="s">
        <v>3845</v>
      </c>
      <c r="B87" t="s">
        <v>2613</v>
      </c>
      <c r="C87" t="s">
        <v>2913</v>
      </c>
      <c r="D87" t="s">
        <v>189</v>
      </c>
      <c r="E87" t="s">
        <v>233</v>
      </c>
      <c r="F87" t="s">
        <v>4392</v>
      </c>
      <c r="G87" s="1">
        <v>44610</v>
      </c>
      <c r="H87" s="1">
        <v>45632</v>
      </c>
      <c r="I87" s="1">
        <v>43037</v>
      </c>
      <c r="J87" s="1">
        <v>45916</v>
      </c>
    </row>
    <row r="88" spans="1:10" x14ac:dyDescent="0.3">
      <c r="A88" t="s">
        <v>3846</v>
      </c>
      <c r="B88" t="s">
        <v>2614</v>
      </c>
      <c r="C88" t="s">
        <v>2914</v>
      </c>
      <c r="D88" t="s">
        <v>189</v>
      </c>
      <c r="E88" t="s">
        <v>191</v>
      </c>
      <c r="F88" t="s">
        <v>4393</v>
      </c>
      <c r="G88" s="1">
        <v>44752</v>
      </c>
      <c r="H88" t="s">
        <v>3956</v>
      </c>
      <c r="I88" s="1">
        <v>43893</v>
      </c>
      <c r="J88" s="1">
        <v>45630</v>
      </c>
    </row>
    <row r="89" spans="1:10" x14ac:dyDescent="0.3">
      <c r="A89" t="s">
        <v>3847</v>
      </c>
      <c r="B89" t="s">
        <v>2616</v>
      </c>
      <c r="C89" t="s">
        <v>2916</v>
      </c>
      <c r="D89" t="s">
        <v>189</v>
      </c>
      <c r="E89" t="s">
        <v>223</v>
      </c>
      <c r="F89" t="s">
        <v>4393</v>
      </c>
      <c r="G89" s="1">
        <v>45959</v>
      </c>
      <c r="H89" t="s">
        <v>3956</v>
      </c>
      <c r="I89" s="1">
        <v>42895</v>
      </c>
      <c r="J89" s="1">
        <v>45505</v>
      </c>
    </row>
    <row r="90" spans="1:10" x14ac:dyDescent="0.3">
      <c r="A90" t="s">
        <v>3848</v>
      </c>
      <c r="B90" t="s">
        <v>2617</v>
      </c>
      <c r="C90" t="s">
        <v>2917</v>
      </c>
      <c r="D90" t="s">
        <v>189</v>
      </c>
      <c r="E90" t="s">
        <v>191</v>
      </c>
      <c r="F90" t="s">
        <v>4392</v>
      </c>
      <c r="G90" s="1">
        <v>45238</v>
      </c>
      <c r="H90" s="1">
        <v>43613</v>
      </c>
      <c r="I90" s="1">
        <v>43373</v>
      </c>
      <c r="J90" s="1">
        <v>45203</v>
      </c>
    </row>
    <row r="91" spans="1:10" x14ac:dyDescent="0.3">
      <c r="A91" t="s">
        <v>3849</v>
      </c>
      <c r="B91" t="s">
        <v>2618</v>
      </c>
      <c r="C91" t="s">
        <v>2918</v>
      </c>
      <c r="D91" t="s">
        <v>189</v>
      </c>
      <c r="E91" t="s">
        <v>193</v>
      </c>
      <c r="F91" t="s">
        <v>4394</v>
      </c>
      <c r="G91" s="1">
        <v>44009</v>
      </c>
      <c r="H91" t="s">
        <v>3956</v>
      </c>
      <c r="I91" s="1">
        <v>43183</v>
      </c>
      <c r="J91" s="1">
        <v>43263</v>
      </c>
    </row>
    <row r="92" spans="1:10" x14ac:dyDescent="0.3">
      <c r="A92" t="s">
        <v>3850</v>
      </c>
      <c r="B92" t="s">
        <v>2620</v>
      </c>
      <c r="C92" t="s">
        <v>2920</v>
      </c>
      <c r="D92" t="s">
        <v>189</v>
      </c>
      <c r="E92" t="s">
        <v>212</v>
      </c>
      <c r="F92" t="s">
        <v>4393</v>
      </c>
      <c r="G92" s="1">
        <v>44358</v>
      </c>
      <c r="H92" s="1">
        <v>46093</v>
      </c>
      <c r="I92" s="1">
        <v>43852</v>
      </c>
      <c r="J92" s="1">
        <v>44386</v>
      </c>
    </row>
    <row r="93" spans="1:10" x14ac:dyDescent="0.3">
      <c r="A93" t="s">
        <v>3851</v>
      </c>
      <c r="B93" t="s">
        <v>2622</v>
      </c>
      <c r="C93" t="s">
        <v>2922</v>
      </c>
      <c r="D93" t="s">
        <v>189</v>
      </c>
      <c r="E93" t="s">
        <v>193</v>
      </c>
      <c r="F93" t="s">
        <v>4392</v>
      </c>
      <c r="G93" s="1">
        <v>44262</v>
      </c>
      <c r="H93" t="s">
        <v>3956</v>
      </c>
      <c r="I93" s="1">
        <v>45277</v>
      </c>
      <c r="J93" s="1">
        <v>44013</v>
      </c>
    </row>
    <row r="94" spans="1:10" x14ac:dyDescent="0.3">
      <c r="A94" t="s">
        <v>3852</v>
      </c>
      <c r="B94" t="s">
        <v>2623</v>
      </c>
      <c r="C94" t="s">
        <v>2923</v>
      </c>
      <c r="D94" t="s">
        <v>189</v>
      </c>
      <c r="E94" t="s">
        <v>230</v>
      </c>
      <c r="F94" t="s">
        <v>4395</v>
      </c>
      <c r="G94" s="1">
        <v>45542</v>
      </c>
      <c r="H94" t="s">
        <v>3956</v>
      </c>
      <c r="I94" s="1">
        <v>43185</v>
      </c>
      <c r="J94" s="1">
        <v>44294</v>
      </c>
    </row>
    <row r="95" spans="1:10" x14ac:dyDescent="0.3">
      <c r="A95" t="s">
        <v>3853</v>
      </c>
      <c r="B95" t="s">
        <v>2624</v>
      </c>
      <c r="C95" t="s">
        <v>2924</v>
      </c>
      <c r="D95" t="s">
        <v>189</v>
      </c>
      <c r="E95" t="s">
        <v>208</v>
      </c>
      <c r="F95" t="s">
        <v>4394</v>
      </c>
      <c r="G95" s="1">
        <v>44019</v>
      </c>
      <c r="H95" s="1">
        <v>45216</v>
      </c>
      <c r="I95" s="1">
        <v>43512</v>
      </c>
      <c r="J95" s="1">
        <v>42975</v>
      </c>
    </row>
    <row r="96" spans="1:10" x14ac:dyDescent="0.3">
      <c r="A96" t="s">
        <v>3854</v>
      </c>
      <c r="B96" t="s">
        <v>2625</v>
      </c>
      <c r="C96" t="s">
        <v>2925</v>
      </c>
      <c r="D96" t="s">
        <v>189</v>
      </c>
      <c r="E96" t="s">
        <v>223</v>
      </c>
      <c r="F96" t="s">
        <v>4394</v>
      </c>
      <c r="G96" s="1">
        <v>43816</v>
      </c>
      <c r="H96" t="s">
        <v>3956</v>
      </c>
      <c r="I96" s="1">
        <v>43678</v>
      </c>
      <c r="J96" s="1">
        <v>43250</v>
      </c>
    </row>
    <row r="97" spans="1:10" x14ac:dyDescent="0.3">
      <c r="A97" t="s">
        <v>3855</v>
      </c>
      <c r="B97" t="s">
        <v>2630</v>
      </c>
      <c r="C97" t="s">
        <v>2930</v>
      </c>
      <c r="D97" t="s">
        <v>189</v>
      </c>
      <c r="E97" t="s">
        <v>198</v>
      </c>
      <c r="F97" t="s">
        <v>4395</v>
      </c>
      <c r="G97" s="1">
        <v>43659</v>
      </c>
      <c r="H97" s="1">
        <v>43981</v>
      </c>
      <c r="I97" s="1">
        <v>44979</v>
      </c>
      <c r="J97" s="1">
        <v>44754</v>
      </c>
    </row>
    <row r="98" spans="1:10" x14ac:dyDescent="0.3">
      <c r="A98" t="s">
        <v>3856</v>
      </c>
      <c r="B98" t="s">
        <v>2632</v>
      </c>
      <c r="C98" t="s">
        <v>2932</v>
      </c>
      <c r="D98" t="s">
        <v>189</v>
      </c>
      <c r="E98" t="s">
        <v>225</v>
      </c>
      <c r="F98" t="s">
        <v>4395</v>
      </c>
      <c r="G98" s="1">
        <v>42671</v>
      </c>
      <c r="H98" t="s">
        <v>3956</v>
      </c>
      <c r="I98" s="1">
        <v>43699</v>
      </c>
      <c r="J98" s="1">
        <v>44218</v>
      </c>
    </row>
    <row r="99" spans="1:10" x14ac:dyDescent="0.3">
      <c r="A99" t="s">
        <v>3857</v>
      </c>
      <c r="B99" t="s">
        <v>2634</v>
      </c>
      <c r="C99" t="s">
        <v>2934</v>
      </c>
      <c r="D99" t="s">
        <v>189</v>
      </c>
      <c r="E99" t="s">
        <v>194</v>
      </c>
      <c r="F99" t="s">
        <v>4392</v>
      </c>
      <c r="G99" s="1">
        <v>42972</v>
      </c>
      <c r="H99" s="1">
        <v>45505</v>
      </c>
      <c r="I99" s="1">
        <v>44194</v>
      </c>
      <c r="J99" s="1">
        <v>44168</v>
      </c>
    </row>
    <row r="100" spans="1:10" x14ac:dyDescent="0.3">
      <c r="A100" t="s">
        <v>3858</v>
      </c>
      <c r="B100" t="s">
        <v>2635</v>
      </c>
      <c r="C100" t="s">
        <v>2935</v>
      </c>
      <c r="D100" t="s">
        <v>189</v>
      </c>
      <c r="E100" t="s">
        <v>216</v>
      </c>
      <c r="F100" t="s">
        <v>4392</v>
      </c>
      <c r="G100" s="1">
        <v>43590</v>
      </c>
      <c r="H100" s="1">
        <v>46158</v>
      </c>
      <c r="I100" s="1">
        <v>42776</v>
      </c>
      <c r="J100" s="1">
        <v>45397</v>
      </c>
    </row>
    <row r="101" spans="1:10" x14ac:dyDescent="0.3">
      <c r="A101" t="s">
        <v>3859</v>
      </c>
      <c r="B101" t="s">
        <v>2636</v>
      </c>
      <c r="C101" t="s">
        <v>2936</v>
      </c>
      <c r="D101" t="s">
        <v>189</v>
      </c>
      <c r="E101" t="s">
        <v>202</v>
      </c>
      <c r="F101" t="s">
        <v>4393</v>
      </c>
      <c r="G101" s="1">
        <v>45294</v>
      </c>
      <c r="H101" t="s">
        <v>3956</v>
      </c>
      <c r="I101" s="1">
        <v>44707</v>
      </c>
      <c r="J101" s="1">
        <v>44245</v>
      </c>
    </row>
    <row r="102" spans="1:10" x14ac:dyDescent="0.3">
      <c r="A102" t="s">
        <v>3860</v>
      </c>
      <c r="B102" t="s">
        <v>2637</v>
      </c>
      <c r="C102" t="s">
        <v>2937</v>
      </c>
      <c r="D102" t="s">
        <v>189</v>
      </c>
      <c r="E102" t="s">
        <v>225</v>
      </c>
      <c r="F102" t="s">
        <v>4393</v>
      </c>
      <c r="G102" s="1">
        <v>43548</v>
      </c>
      <c r="H102" s="1">
        <v>46037</v>
      </c>
      <c r="I102" s="1">
        <v>45562</v>
      </c>
      <c r="J102" s="1">
        <v>43018</v>
      </c>
    </row>
    <row r="103" spans="1:10" x14ac:dyDescent="0.3">
      <c r="A103" t="s">
        <v>3861</v>
      </c>
      <c r="B103" t="s">
        <v>2672</v>
      </c>
      <c r="C103" t="s">
        <v>2972</v>
      </c>
      <c r="D103" t="s">
        <v>189</v>
      </c>
      <c r="E103" t="s">
        <v>193</v>
      </c>
      <c r="F103" t="s">
        <v>4392</v>
      </c>
      <c r="G103" s="1">
        <v>45465</v>
      </c>
      <c r="H103" s="1">
        <v>43459</v>
      </c>
      <c r="I103" s="1">
        <v>43939</v>
      </c>
      <c r="J103" s="1">
        <v>45526</v>
      </c>
    </row>
    <row r="104" spans="1:10" x14ac:dyDescent="0.3">
      <c r="A104" t="s">
        <v>3862</v>
      </c>
      <c r="B104" t="s">
        <v>2676</v>
      </c>
      <c r="C104" t="s">
        <v>2976</v>
      </c>
      <c r="D104" t="s">
        <v>189</v>
      </c>
      <c r="E104" t="s">
        <v>239</v>
      </c>
      <c r="F104" t="s">
        <v>4394</v>
      </c>
      <c r="G104" s="1">
        <v>45769</v>
      </c>
      <c r="H104" t="s">
        <v>3956</v>
      </c>
      <c r="I104" s="1">
        <v>43178</v>
      </c>
      <c r="J104" s="1">
        <v>44667</v>
      </c>
    </row>
    <row r="105" spans="1:10" x14ac:dyDescent="0.3">
      <c r="A105" t="s">
        <v>3863</v>
      </c>
      <c r="B105" t="s">
        <v>2678</v>
      </c>
      <c r="C105" t="s">
        <v>2978</v>
      </c>
      <c r="D105" t="s">
        <v>189</v>
      </c>
      <c r="E105" t="s">
        <v>234</v>
      </c>
      <c r="F105" t="s">
        <v>4392</v>
      </c>
      <c r="G105" s="1">
        <v>43998</v>
      </c>
      <c r="H105" t="s">
        <v>3956</v>
      </c>
      <c r="I105" s="1">
        <v>43447</v>
      </c>
      <c r="J105" s="1">
        <v>43205</v>
      </c>
    </row>
    <row r="106" spans="1:10" x14ac:dyDescent="0.3">
      <c r="A106" t="s">
        <v>3864</v>
      </c>
      <c r="B106" t="s">
        <v>692</v>
      </c>
      <c r="C106" t="s">
        <v>1042</v>
      </c>
      <c r="D106" t="s">
        <v>188</v>
      </c>
      <c r="E106" t="s">
        <v>228</v>
      </c>
      <c r="F106" t="s">
        <v>4394</v>
      </c>
      <c r="G106" s="1">
        <v>44442</v>
      </c>
      <c r="H106" t="s">
        <v>3956</v>
      </c>
      <c r="I106" s="1">
        <v>44781</v>
      </c>
      <c r="J106" s="1">
        <v>44240</v>
      </c>
    </row>
    <row r="107" spans="1:10" x14ac:dyDescent="0.3">
      <c r="A107" t="s">
        <v>3865</v>
      </c>
      <c r="B107" t="s">
        <v>704</v>
      </c>
      <c r="C107" t="s">
        <v>1054</v>
      </c>
      <c r="D107" t="s">
        <v>188</v>
      </c>
      <c r="E107" t="s">
        <v>192</v>
      </c>
      <c r="F107" t="s">
        <v>4393</v>
      </c>
      <c r="G107" s="1">
        <v>42659</v>
      </c>
      <c r="H107" s="1">
        <v>44932</v>
      </c>
      <c r="I107" s="1">
        <v>44707</v>
      </c>
      <c r="J107" s="1">
        <v>44458</v>
      </c>
    </row>
    <row r="108" spans="1:10" x14ac:dyDescent="0.3">
      <c r="A108" t="s">
        <v>3866</v>
      </c>
      <c r="B108" t="s">
        <v>705</v>
      </c>
      <c r="C108" t="s">
        <v>1055</v>
      </c>
      <c r="D108" t="s">
        <v>188</v>
      </c>
      <c r="E108" t="s">
        <v>241</v>
      </c>
      <c r="F108" t="s">
        <v>4393</v>
      </c>
      <c r="G108" s="1">
        <v>42864</v>
      </c>
      <c r="H108" t="s">
        <v>3956</v>
      </c>
      <c r="I108" s="1">
        <v>43513</v>
      </c>
      <c r="J108" s="1">
        <v>44054</v>
      </c>
    </row>
    <row r="109" spans="1:10" x14ac:dyDescent="0.3">
      <c r="A109" t="s">
        <v>3867</v>
      </c>
      <c r="B109" t="s">
        <v>708</v>
      </c>
      <c r="C109" t="s">
        <v>1058</v>
      </c>
      <c r="D109" t="s">
        <v>188</v>
      </c>
      <c r="E109" t="s">
        <v>221</v>
      </c>
      <c r="F109" t="s">
        <v>4395</v>
      </c>
      <c r="G109" s="1">
        <v>46003</v>
      </c>
      <c r="H109" s="1">
        <v>45364</v>
      </c>
      <c r="I109" s="1">
        <v>42977</v>
      </c>
      <c r="J109" s="1">
        <v>42765</v>
      </c>
    </row>
    <row r="110" spans="1:10" x14ac:dyDescent="0.3">
      <c r="A110" t="s">
        <v>3868</v>
      </c>
      <c r="B110" t="s">
        <v>715</v>
      </c>
      <c r="C110" t="s">
        <v>1065</v>
      </c>
      <c r="D110" t="s">
        <v>188</v>
      </c>
      <c r="E110" t="s">
        <v>232</v>
      </c>
      <c r="F110" t="s">
        <v>4393</v>
      </c>
      <c r="G110" s="1">
        <v>43698</v>
      </c>
      <c r="H110" t="s">
        <v>3956</v>
      </c>
      <c r="I110" s="1">
        <v>43890</v>
      </c>
      <c r="J110" s="1">
        <v>42799</v>
      </c>
    </row>
    <row r="111" spans="1:10" x14ac:dyDescent="0.3">
      <c r="A111" t="s">
        <v>3869</v>
      </c>
      <c r="B111" t="s">
        <v>716</v>
      </c>
      <c r="C111" t="s">
        <v>1066</v>
      </c>
      <c r="D111" t="s">
        <v>188</v>
      </c>
      <c r="E111" t="s">
        <v>247</v>
      </c>
      <c r="F111" t="s">
        <v>4395</v>
      </c>
      <c r="G111" s="1">
        <v>44200</v>
      </c>
      <c r="H111" t="s">
        <v>3956</v>
      </c>
      <c r="I111" s="1">
        <v>42627</v>
      </c>
      <c r="J111" s="1">
        <v>44383</v>
      </c>
    </row>
    <row r="112" spans="1:10" x14ac:dyDescent="0.3">
      <c r="A112" t="s">
        <v>3870</v>
      </c>
      <c r="B112" t="s">
        <v>717</v>
      </c>
      <c r="C112" t="s">
        <v>1067</v>
      </c>
      <c r="D112" t="s">
        <v>188</v>
      </c>
      <c r="E112" t="s">
        <v>193</v>
      </c>
      <c r="F112" t="s">
        <v>4395</v>
      </c>
      <c r="G112" s="1">
        <v>42690</v>
      </c>
      <c r="H112" s="1">
        <v>46231</v>
      </c>
      <c r="I112" s="1">
        <v>43933</v>
      </c>
      <c r="J112" s="1">
        <v>45474</v>
      </c>
    </row>
    <row r="113" spans="1:10" x14ac:dyDescent="0.3">
      <c r="A113" t="s">
        <v>3871</v>
      </c>
      <c r="B113" t="s">
        <v>744</v>
      </c>
      <c r="C113" t="s">
        <v>1094</v>
      </c>
      <c r="D113" t="s">
        <v>188</v>
      </c>
      <c r="E113" t="s">
        <v>228</v>
      </c>
      <c r="F113" t="s">
        <v>4392</v>
      </c>
      <c r="G113" s="1">
        <v>43492</v>
      </c>
      <c r="H113" t="s">
        <v>3956</v>
      </c>
      <c r="I113" s="1">
        <v>44505</v>
      </c>
      <c r="J113" s="1">
        <v>42909</v>
      </c>
    </row>
    <row r="114" spans="1:10" x14ac:dyDescent="0.3">
      <c r="A114" t="s">
        <v>3872</v>
      </c>
      <c r="B114" t="s">
        <v>748</v>
      </c>
      <c r="C114" t="s">
        <v>1098</v>
      </c>
      <c r="D114" t="s">
        <v>188</v>
      </c>
      <c r="E114" t="s">
        <v>196</v>
      </c>
      <c r="F114" t="s">
        <v>4393</v>
      </c>
      <c r="G114" s="1">
        <v>42987</v>
      </c>
      <c r="H114" s="1">
        <v>43828</v>
      </c>
      <c r="I114" s="1">
        <v>43485</v>
      </c>
      <c r="J114" s="1">
        <v>43759</v>
      </c>
    </row>
    <row r="115" spans="1:10" x14ac:dyDescent="0.3">
      <c r="A115" t="s">
        <v>3873</v>
      </c>
      <c r="B115" t="s">
        <v>749</v>
      </c>
      <c r="C115" t="s">
        <v>1099</v>
      </c>
      <c r="D115" t="s">
        <v>188</v>
      </c>
      <c r="E115" t="s">
        <v>228</v>
      </c>
      <c r="F115" t="s">
        <v>4394</v>
      </c>
      <c r="G115" s="1">
        <v>42771</v>
      </c>
      <c r="H115" t="s">
        <v>3956</v>
      </c>
      <c r="I115" s="1">
        <v>42910</v>
      </c>
      <c r="J115" s="1">
        <v>43221</v>
      </c>
    </row>
    <row r="116" spans="1:10" x14ac:dyDescent="0.3">
      <c r="A116" t="s">
        <v>3874</v>
      </c>
      <c r="B116" t="s">
        <v>751</v>
      </c>
      <c r="C116" t="s">
        <v>1101</v>
      </c>
      <c r="D116" t="s">
        <v>188</v>
      </c>
      <c r="E116" t="s">
        <v>242</v>
      </c>
      <c r="F116" t="s">
        <v>4395</v>
      </c>
      <c r="G116" s="1">
        <v>45496</v>
      </c>
      <c r="H116" t="s">
        <v>3956</v>
      </c>
      <c r="I116" s="1">
        <v>43131</v>
      </c>
      <c r="J116" s="1">
        <v>44072</v>
      </c>
    </row>
    <row r="117" spans="1:10" x14ac:dyDescent="0.3">
      <c r="A117" t="s">
        <v>3875</v>
      </c>
      <c r="B117" t="s">
        <v>755</v>
      </c>
      <c r="C117" t="s">
        <v>1105</v>
      </c>
      <c r="D117" t="s">
        <v>188</v>
      </c>
      <c r="E117" t="s">
        <v>216</v>
      </c>
      <c r="F117" t="s">
        <v>4394</v>
      </c>
      <c r="G117" s="1">
        <v>45547</v>
      </c>
      <c r="H117" s="1">
        <v>45338</v>
      </c>
      <c r="I117" s="1">
        <v>44988</v>
      </c>
      <c r="J117" s="1">
        <v>45802</v>
      </c>
    </row>
    <row r="118" spans="1:10" x14ac:dyDescent="0.3">
      <c r="A118" t="s">
        <v>3876</v>
      </c>
      <c r="B118" t="s">
        <v>761</v>
      </c>
      <c r="C118" t="s">
        <v>1111</v>
      </c>
      <c r="D118" t="s">
        <v>188</v>
      </c>
      <c r="E118" t="s">
        <v>218</v>
      </c>
      <c r="F118" t="s">
        <v>4392</v>
      </c>
      <c r="G118" s="1">
        <v>42856</v>
      </c>
      <c r="H118" s="1">
        <v>45428</v>
      </c>
      <c r="I118" s="1">
        <v>44476</v>
      </c>
      <c r="J118" s="1">
        <v>46098</v>
      </c>
    </row>
    <row r="119" spans="1:10" x14ac:dyDescent="0.3">
      <c r="A119" t="s">
        <v>3877</v>
      </c>
      <c r="B119" t="s">
        <v>762</v>
      </c>
      <c r="C119" t="s">
        <v>1112</v>
      </c>
      <c r="D119" t="s">
        <v>188</v>
      </c>
      <c r="E119" t="s">
        <v>222</v>
      </c>
      <c r="F119" t="s">
        <v>4393</v>
      </c>
      <c r="G119" s="1">
        <v>46005</v>
      </c>
      <c r="H119" t="s">
        <v>3956</v>
      </c>
      <c r="I119" s="1">
        <v>45207</v>
      </c>
      <c r="J119" s="1">
        <v>44149</v>
      </c>
    </row>
    <row r="120" spans="1:10" x14ac:dyDescent="0.3">
      <c r="A120" t="s">
        <v>3878</v>
      </c>
      <c r="B120" t="s">
        <v>763</v>
      </c>
      <c r="C120" t="s">
        <v>1113</v>
      </c>
      <c r="D120" t="s">
        <v>188</v>
      </c>
      <c r="E120" t="s">
        <v>235</v>
      </c>
      <c r="F120" t="s">
        <v>4393</v>
      </c>
      <c r="G120" s="1">
        <v>44795</v>
      </c>
      <c r="H120" s="1">
        <v>44784</v>
      </c>
      <c r="I120" s="1">
        <v>46128</v>
      </c>
      <c r="J120" s="1">
        <v>44973</v>
      </c>
    </row>
    <row r="121" spans="1:10" x14ac:dyDescent="0.3">
      <c r="A121" t="s">
        <v>3879</v>
      </c>
      <c r="B121" t="s">
        <v>764</v>
      </c>
      <c r="C121" t="s">
        <v>1114</v>
      </c>
      <c r="D121" t="s">
        <v>188</v>
      </c>
      <c r="E121" t="s">
        <v>226</v>
      </c>
      <c r="F121" t="s">
        <v>4395</v>
      </c>
      <c r="G121" s="1">
        <v>44911</v>
      </c>
      <c r="H121" t="s">
        <v>3956</v>
      </c>
      <c r="I121" s="1">
        <v>42847</v>
      </c>
      <c r="J121" s="1">
        <v>44672</v>
      </c>
    </row>
    <row r="122" spans="1:10" x14ac:dyDescent="0.3">
      <c r="A122" t="s">
        <v>3880</v>
      </c>
      <c r="B122" t="s">
        <v>767</v>
      </c>
      <c r="C122" t="s">
        <v>1117</v>
      </c>
      <c r="D122" t="s">
        <v>188</v>
      </c>
      <c r="E122" t="s">
        <v>224</v>
      </c>
      <c r="F122" t="s">
        <v>4395</v>
      </c>
      <c r="G122" s="1">
        <v>45928</v>
      </c>
      <c r="H122" t="s">
        <v>3956</v>
      </c>
      <c r="I122" s="1">
        <v>43094</v>
      </c>
      <c r="J122" s="1">
        <v>45455</v>
      </c>
    </row>
    <row r="123" spans="1:10" x14ac:dyDescent="0.3">
      <c r="A123" t="s">
        <v>3881</v>
      </c>
      <c r="B123" t="s">
        <v>768</v>
      </c>
      <c r="C123" t="s">
        <v>1118</v>
      </c>
      <c r="D123" t="s">
        <v>188</v>
      </c>
      <c r="E123" t="s">
        <v>216</v>
      </c>
      <c r="F123" t="s">
        <v>4393</v>
      </c>
      <c r="G123" s="1">
        <v>44105</v>
      </c>
      <c r="H123" t="s">
        <v>3956</v>
      </c>
      <c r="I123" s="1">
        <v>42793</v>
      </c>
      <c r="J123" s="1">
        <v>43133</v>
      </c>
    </row>
    <row r="124" spans="1:10" x14ac:dyDescent="0.3">
      <c r="A124" t="s">
        <v>3882</v>
      </c>
      <c r="B124" t="s">
        <v>769</v>
      </c>
      <c r="C124" t="s">
        <v>1119</v>
      </c>
      <c r="D124" t="s">
        <v>188</v>
      </c>
      <c r="E124" t="s">
        <v>193</v>
      </c>
      <c r="F124" t="s">
        <v>4392</v>
      </c>
      <c r="G124" s="1">
        <v>44760</v>
      </c>
      <c r="H124" t="s">
        <v>3956</v>
      </c>
      <c r="I124" s="1">
        <v>44858</v>
      </c>
      <c r="J124" s="1">
        <v>44690</v>
      </c>
    </row>
    <row r="125" spans="1:10" x14ac:dyDescent="0.3">
      <c r="A125" t="s">
        <v>3883</v>
      </c>
      <c r="B125" t="s">
        <v>770</v>
      </c>
      <c r="C125" t="s">
        <v>1120</v>
      </c>
      <c r="D125" t="s">
        <v>188</v>
      </c>
      <c r="E125" t="s">
        <v>215</v>
      </c>
      <c r="F125" t="s">
        <v>4395</v>
      </c>
      <c r="G125" s="1">
        <v>46080</v>
      </c>
      <c r="H125" s="1">
        <v>45258</v>
      </c>
      <c r="I125" s="1">
        <v>44550</v>
      </c>
      <c r="J125" s="1">
        <v>45163</v>
      </c>
    </row>
    <row r="126" spans="1:10" x14ac:dyDescent="0.3">
      <c r="A126" t="s">
        <v>3884</v>
      </c>
      <c r="B126" t="s">
        <v>773</v>
      </c>
      <c r="C126" t="s">
        <v>1123</v>
      </c>
      <c r="D126" t="s">
        <v>188</v>
      </c>
      <c r="E126" t="s">
        <v>190</v>
      </c>
      <c r="F126" t="s">
        <v>4394</v>
      </c>
      <c r="G126" s="1">
        <v>44354</v>
      </c>
      <c r="H126" t="s">
        <v>3956</v>
      </c>
      <c r="I126" s="1">
        <v>43412</v>
      </c>
      <c r="J126" s="1">
        <v>45177</v>
      </c>
    </row>
    <row r="127" spans="1:10" x14ac:dyDescent="0.3">
      <c r="A127" t="s">
        <v>3885</v>
      </c>
      <c r="B127" t="s">
        <v>775</v>
      </c>
      <c r="C127" t="s">
        <v>1125</v>
      </c>
      <c r="D127" t="s">
        <v>188</v>
      </c>
      <c r="E127" t="s">
        <v>246</v>
      </c>
      <c r="F127" t="s">
        <v>4395</v>
      </c>
      <c r="G127" s="1">
        <v>43248</v>
      </c>
      <c r="H127" t="s">
        <v>3956</v>
      </c>
      <c r="I127" s="1">
        <v>45071</v>
      </c>
      <c r="J127" s="1">
        <v>43942</v>
      </c>
    </row>
    <row r="128" spans="1:10" x14ac:dyDescent="0.3">
      <c r="A128" t="s">
        <v>3886</v>
      </c>
      <c r="B128" t="s">
        <v>776</v>
      </c>
      <c r="C128" t="s">
        <v>1126</v>
      </c>
      <c r="D128" t="s">
        <v>188</v>
      </c>
      <c r="E128" t="s">
        <v>243</v>
      </c>
      <c r="F128" t="s">
        <v>4394</v>
      </c>
      <c r="G128" s="1">
        <v>42770</v>
      </c>
      <c r="H128" t="s">
        <v>3956</v>
      </c>
      <c r="I128" s="1">
        <v>42864</v>
      </c>
      <c r="J128" s="1">
        <v>43293</v>
      </c>
    </row>
    <row r="129" spans="1:10" x14ac:dyDescent="0.3">
      <c r="A129" t="s">
        <v>3887</v>
      </c>
      <c r="B129" t="s">
        <v>799</v>
      </c>
      <c r="C129" t="s">
        <v>1149</v>
      </c>
      <c r="D129" t="s">
        <v>188</v>
      </c>
      <c r="E129" t="s">
        <v>213</v>
      </c>
      <c r="F129" t="s">
        <v>4393</v>
      </c>
      <c r="G129" s="1">
        <v>43785</v>
      </c>
      <c r="H129" t="s">
        <v>3956</v>
      </c>
      <c r="I129" s="1">
        <v>43755</v>
      </c>
      <c r="J129" s="1">
        <v>44278</v>
      </c>
    </row>
    <row r="130" spans="1:10" x14ac:dyDescent="0.3">
      <c r="A130" t="s">
        <v>3888</v>
      </c>
      <c r="B130" t="s">
        <v>801</v>
      </c>
      <c r="C130" t="s">
        <v>1151</v>
      </c>
      <c r="D130" t="s">
        <v>188</v>
      </c>
      <c r="E130" t="s">
        <v>239</v>
      </c>
      <c r="F130" t="s">
        <v>4393</v>
      </c>
      <c r="G130" s="1">
        <v>45079</v>
      </c>
      <c r="H130" t="s">
        <v>3956</v>
      </c>
      <c r="I130" s="1">
        <v>45088</v>
      </c>
      <c r="J130" s="1">
        <v>43840</v>
      </c>
    </row>
    <row r="131" spans="1:10" x14ac:dyDescent="0.3">
      <c r="A131" t="s">
        <v>3889</v>
      </c>
      <c r="B131" t="s">
        <v>802</v>
      </c>
      <c r="C131" t="s">
        <v>1152</v>
      </c>
      <c r="D131" t="s">
        <v>188</v>
      </c>
      <c r="E131" t="s">
        <v>247</v>
      </c>
      <c r="F131" t="s">
        <v>4395</v>
      </c>
      <c r="G131" s="1">
        <v>43656</v>
      </c>
      <c r="H131" s="1">
        <v>45313</v>
      </c>
      <c r="I131" s="1">
        <v>44310</v>
      </c>
      <c r="J131" s="1">
        <v>45311</v>
      </c>
    </row>
    <row r="132" spans="1:10" x14ac:dyDescent="0.3">
      <c r="A132" t="s">
        <v>3890</v>
      </c>
      <c r="B132" t="s">
        <v>804</v>
      </c>
      <c r="C132" t="s">
        <v>1154</v>
      </c>
      <c r="D132" t="s">
        <v>188</v>
      </c>
      <c r="E132" t="s">
        <v>228</v>
      </c>
      <c r="F132" t="s">
        <v>4393</v>
      </c>
      <c r="G132" s="1">
        <v>43407</v>
      </c>
      <c r="H132" t="s">
        <v>3956</v>
      </c>
      <c r="I132" s="1">
        <v>43563</v>
      </c>
      <c r="J132" s="1">
        <v>43188</v>
      </c>
    </row>
    <row r="133" spans="1:10" x14ac:dyDescent="0.3">
      <c r="A133" t="s">
        <v>3891</v>
      </c>
      <c r="B133" t="s">
        <v>809</v>
      </c>
      <c r="C133" t="s">
        <v>1158</v>
      </c>
      <c r="D133" t="s">
        <v>188</v>
      </c>
      <c r="E133" t="s">
        <v>241</v>
      </c>
      <c r="F133" t="s">
        <v>4394</v>
      </c>
      <c r="G133" s="1">
        <v>44774</v>
      </c>
      <c r="H133" s="1">
        <v>46184</v>
      </c>
      <c r="I133" s="1">
        <v>43107</v>
      </c>
      <c r="J133" s="1">
        <v>43823</v>
      </c>
    </row>
    <row r="134" spans="1:10" x14ac:dyDescent="0.3">
      <c r="A134" t="s">
        <v>3892</v>
      </c>
      <c r="B134" t="s">
        <v>812</v>
      </c>
      <c r="C134" t="s">
        <v>1161</v>
      </c>
      <c r="D134" t="s">
        <v>188</v>
      </c>
      <c r="E134" t="s">
        <v>242</v>
      </c>
      <c r="F134" t="s">
        <v>4395</v>
      </c>
      <c r="G134" s="1">
        <v>43815</v>
      </c>
      <c r="H134" s="1">
        <v>44203</v>
      </c>
      <c r="I134" s="1">
        <v>44173</v>
      </c>
      <c r="J134" s="1">
        <v>43847</v>
      </c>
    </row>
    <row r="135" spans="1:10" x14ac:dyDescent="0.3">
      <c r="A135" t="s">
        <v>3893</v>
      </c>
      <c r="B135" t="s">
        <v>814</v>
      </c>
      <c r="C135" t="s">
        <v>1163</v>
      </c>
      <c r="D135" t="s">
        <v>188</v>
      </c>
      <c r="E135" t="s">
        <v>244</v>
      </c>
      <c r="F135" t="s">
        <v>4392</v>
      </c>
      <c r="G135" s="1">
        <v>46154</v>
      </c>
      <c r="H135" s="1">
        <v>44897</v>
      </c>
      <c r="I135" s="1">
        <v>45673</v>
      </c>
      <c r="J135" s="1">
        <v>42638</v>
      </c>
    </row>
    <row r="136" spans="1:10" x14ac:dyDescent="0.3">
      <c r="A136" t="s">
        <v>3894</v>
      </c>
      <c r="B136" t="s">
        <v>816</v>
      </c>
      <c r="C136" t="s">
        <v>1165</v>
      </c>
      <c r="D136" t="s">
        <v>188</v>
      </c>
      <c r="E136" t="s">
        <v>242</v>
      </c>
      <c r="F136" t="s">
        <v>4395</v>
      </c>
      <c r="G136" s="1">
        <v>45573</v>
      </c>
      <c r="H136" s="1">
        <v>43208</v>
      </c>
      <c r="I136" s="1">
        <v>44107</v>
      </c>
      <c r="J136" s="1">
        <v>44887</v>
      </c>
    </row>
    <row r="137" spans="1:10" x14ac:dyDescent="0.3">
      <c r="A137" t="s">
        <v>3895</v>
      </c>
      <c r="B137" t="s">
        <v>817</v>
      </c>
      <c r="C137" t="s">
        <v>1166</v>
      </c>
      <c r="D137" t="s">
        <v>188</v>
      </c>
      <c r="E137" t="s">
        <v>227</v>
      </c>
      <c r="F137" t="s">
        <v>4394</v>
      </c>
      <c r="G137" s="1">
        <v>44364</v>
      </c>
      <c r="H137" t="s">
        <v>3956</v>
      </c>
      <c r="I137" s="1">
        <v>45113</v>
      </c>
      <c r="J137" s="1">
        <v>43635</v>
      </c>
    </row>
    <row r="138" spans="1:10" x14ac:dyDescent="0.3">
      <c r="A138" t="s">
        <v>3896</v>
      </c>
      <c r="B138" t="s">
        <v>818</v>
      </c>
      <c r="C138" t="s">
        <v>1167</v>
      </c>
      <c r="D138" t="s">
        <v>188</v>
      </c>
      <c r="E138" t="s">
        <v>204</v>
      </c>
      <c r="F138" t="s">
        <v>4392</v>
      </c>
      <c r="G138" s="1">
        <v>45225</v>
      </c>
      <c r="H138" s="1">
        <v>44635</v>
      </c>
      <c r="I138" s="1">
        <v>45532</v>
      </c>
      <c r="J138" s="1">
        <v>42597</v>
      </c>
    </row>
    <row r="139" spans="1:10" x14ac:dyDescent="0.3">
      <c r="A139" t="s">
        <v>3897</v>
      </c>
      <c r="B139" t="s">
        <v>819</v>
      </c>
      <c r="C139" t="s">
        <v>1168</v>
      </c>
      <c r="D139" t="s">
        <v>188</v>
      </c>
      <c r="E139" t="s">
        <v>229</v>
      </c>
      <c r="F139" t="s">
        <v>4394</v>
      </c>
      <c r="G139" s="1">
        <v>42857</v>
      </c>
      <c r="H139" s="1">
        <v>45393</v>
      </c>
      <c r="I139" s="1">
        <v>45324</v>
      </c>
      <c r="J139" s="1">
        <v>43669</v>
      </c>
    </row>
    <row r="140" spans="1:10" x14ac:dyDescent="0.3">
      <c r="A140" t="s">
        <v>3898</v>
      </c>
      <c r="B140" t="s">
        <v>820</v>
      </c>
      <c r="C140" t="s">
        <v>1169</v>
      </c>
      <c r="D140" t="s">
        <v>188</v>
      </c>
      <c r="E140" t="s">
        <v>238</v>
      </c>
      <c r="F140" t="s">
        <v>4394</v>
      </c>
      <c r="G140" s="1">
        <v>43851</v>
      </c>
      <c r="H140" t="s">
        <v>3956</v>
      </c>
      <c r="I140" s="1">
        <v>44391</v>
      </c>
      <c r="J140" s="1">
        <v>43188</v>
      </c>
    </row>
    <row r="141" spans="1:10" x14ac:dyDescent="0.3">
      <c r="A141" t="s">
        <v>3899</v>
      </c>
      <c r="B141" t="s">
        <v>825</v>
      </c>
      <c r="C141" t="s">
        <v>1174</v>
      </c>
      <c r="D141" t="s">
        <v>188</v>
      </c>
      <c r="E141" t="s">
        <v>196</v>
      </c>
      <c r="F141" t="s">
        <v>4395</v>
      </c>
      <c r="G141" s="1">
        <v>42929</v>
      </c>
      <c r="H141" t="s">
        <v>3956</v>
      </c>
      <c r="I141" s="1">
        <v>42606</v>
      </c>
      <c r="J141" s="1">
        <v>44508</v>
      </c>
    </row>
    <row r="142" spans="1:10" x14ac:dyDescent="0.3">
      <c r="A142" t="s">
        <v>3900</v>
      </c>
      <c r="B142" t="s">
        <v>830</v>
      </c>
      <c r="C142" t="s">
        <v>1179</v>
      </c>
      <c r="D142" t="s">
        <v>188</v>
      </c>
      <c r="E142" t="s">
        <v>220</v>
      </c>
      <c r="F142" t="s">
        <v>4394</v>
      </c>
      <c r="G142" s="1">
        <v>44079</v>
      </c>
      <c r="H142" t="s">
        <v>3956</v>
      </c>
      <c r="I142" s="1">
        <v>45494</v>
      </c>
      <c r="J142" s="1">
        <v>45751</v>
      </c>
    </row>
    <row r="143" spans="1:10" x14ac:dyDescent="0.3">
      <c r="A143" t="s">
        <v>3901</v>
      </c>
      <c r="B143" t="s">
        <v>832</v>
      </c>
      <c r="C143" t="s">
        <v>1181</v>
      </c>
      <c r="D143" t="s">
        <v>188</v>
      </c>
      <c r="E143" t="s">
        <v>231</v>
      </c>
      <c r="F143" t="s">
        <v>4394</v>
      </c>
      <c r="G143" s="1">
        <v>44943</v>
      </c>
      <c r="H143" t="s">
        <v>3956</v>
      </c>
      <c r="I143" s="1">
        <v>44857</v>
      </c>
      <c r="J143" s="1">
        <v>43340</v>
      </c>
    </row>
    <row r="144" spans="1:10" x14ac:dyDescent="0.3">
      <c r="A144" t="s">
        <v>3902</v>
      </c>
      <c r="B144" t="s">
        <v>869</v>
      </c>
      <c r="C144" t="s">
        <v>1218</v>
      </c>
      <c r="D144" t="s">
        <v>188</v>
      </c>
      <c r="E144" t="s">
        <v>190</v>
      </c>
      <c r="F144" t="s">
        <v>4395</v>
      </c>
      <c r="G144" s="1">
        <v>43481</v>
      </c>
      <c r="H144" t="s">
        <v>3956</v>
      </c>
      <c r="I144" s="1">
        <v>45062</v>
      </c>
      <c r="J144" s="1">
        <v>45485</v>
      </c>
    </row>
    <row r="145" spans="1:10" x14ac:dyDescent="0.3">
      <c r="A145" t="s">
        <v>3903</v>
      </c>
      <c r="B145" t="s">
        <v>872</v>
      </c>
      <c r="C145" t="s">
        <v>1162</v>
      </c>
      <c r="D145" t="s">
        <v>188</v>
      </c>
      <c r="E145" t="s">
        <v>203</v>
      </c>
      <c r="F145" t="s">
        <v>4392</v>
      </c>
      <c r="G145" s="1">
        <v>44548</v>
      </c>
      <c r="H145" s="1">
        <v>45627</v>
      </c>
      <c r="I145" s="1">
        <v>42989</v>
      </c>
      <c r="J145" s="1">
        <v>44112</v>
      </c>
    </row>
    <row r="146" spans="1:10" x14ac:dyDescent="0.3">
      <c r="A146" t="s">
        <v>3904</v>
      </c>
      <c r="B146" t="s">
        <v>874</v>
      </c>
      <c r="C146" t="s">
        <v>1221</v>
      </c>
      <c r="D146" t="s">
        <v>188</v>
      </c>
      <c r="E146" t="s">
        <v>223</v>
      </c>
      <c r="F146" t="s">
        <v>4393</v>
      </c>
      <c r="G146" s="1">
        <v>45115</v>
      </c>
      <c r="H146" s="1">
        <v>45916</v>
      </c>
      <c r="I146" s="1">
        <v>43392</v>
      </c>
      <c r="J146" s="1">
        <v>43666</v>
      </c>
    </row>
    <row r="147" spans="1:10" x14ac:dyDescent="0.3">
      <c r="A147" t="s">
        <v>3905</v>
      </c>
      <c r="B147" t="s">
        <v>875</v>
      </c>
      <c r="C147" t="s">
        <v>1222</v>
      </c>
      <c r="D147" t="s">
        <v>188</v>
      </c>
      <c r="E147" t="s">
        <v>223</v>
      </c>
      <c r="F147" t="s">
        <v>4393</v>
      </c>
      <c r="G147" s="1">
        <v>45863</v>
      </c>
      <c r="H147" t="s">
        <v>3956</v>
      </c>
      <c r="I147" s="1">
        <v>45960</v>
      </c>
      <c r="J147" s="1">
        <v>45739</v>
      </c>
    </row>
    <row r="148" spans="1:10" x14ac:dyDescent="0.3">
      <c r="A148" t="s">
        <v>3906</v>
      </c>
      <c r="B148" t="s">
        <v>878</v>
      </c>
      <c r="C148" t="s">
        <v>1225</v>
      </c>
      <c r="D148" t="s">
        <v>188</v>
      </c>
      <c r="E148" t="s">
        <v>201</v>
      </c>
      <c r="F148" t="s">
        <v>4392</v>
      </c>
      <c r="G148" s="1">
        <v>43307</v>
      </c>
      <c r="H148" s="1">
        <v>43892</v>
      </c>
      <c r="I148" s="1">
        <v>44139</v>
      </c>
      <c r="J148" s="1">
        <v>43281</v>
      </c>
    </row>
    <row r="149" spans="1:10" x14ac:dyDescent="0.3">
      <c r="A149" t="s">
        <v>3907</v>
      </c>
      <c r="B149" t="s">
        <v>880</v>
      </c>
      <c r="C149" t="s">
        <v>1227</v>
      </c>
      <c r="D149" t="s">
        <v>188</v>
      </c>
      <c r="E149" t="s">
        <v>196</v>
      </c>
      <c r="F149" t="s">
        <v>4394</v>
      </c>
      <c r="G149" s="1">
        <v>44572</v>
      </c>
      <c r="H149" t="s">
        <v>3956</v>
      </c>
      <c r="I149" s="1">
        <v>45639</v>
      </c>
      <c r="J149" s="1">
        <v>44816</v>
      </c>
    </row>
    <row r="150" spans="1:10" x14ac:dyDescent="0.3">
      <c r="A150" t="s">
        <v>3908</v>
      </c>
      <c r="B150" t="s">
        <v>881</v>
      </c>
      <c r="C150" t="s">
        <v>1228</v>
      </c>
      <c r="D150" t="s">
        <v>188</v>
      </c>
      <c r="E150" t="s">
        <v>246</v>
      </c>
      <c r="F150" t="s">
        <v>4395</v>
      </c>
      <c r="G150" s="1">
        <v>46030</v>
      </c>
      <c r="H150" t="s">
        <v>3956</v>
      </c>
      <c r="I150" s="1">
        <v>43071</v>
      </c>
      <c r="J150" s="1">
        <v>42607</v>
      </c>
    </row>
    <row r="151" spans="1:10" x14ac:dyDescent="0.3">
      <c r="A151" t="s">
        <v>3909</v>
      </c>
      <c r="B151" t="s">
        <v>882</v>
      </c>
      <c r="C151" t="s">
        <v>1229</v>
      </c>
      <c r="D151" t="s">
        <v>188</v>
      </c>
      <c r="E151" t="s">
        <v>204</v>
      </c>
      <c r="F151" t="s">
        <v>4392</v>
      </c>
      <c r="G151" s="1">
        <v>45200</v>
      </c>
      <c r="H151" t="s">
        <v>3956</v>
      </c>
      <c r="I151" s="1">
        <v>43257</v>
      </c>
      <c r="J151" s="1">
        <v>45472</v>
      </c>
    </row>
    <row r="152" spans="1:10" x14ac:dyDescent="0.3">
      <c r="A152" t="s">
        <v>3910</v>
      </c>
      <c r="B152" t="s">
        <v>883</v>
      </c>
      <c r="C152" t="s">
        <v>1230</v>
      </c>
      <c r="D152" t="s">
        <v>188</v>
      </c>
      <c r="E152" t="s">
        <v>199</v>
      </c>
      <c r="F152" t="s">
        <v>4395</v>
      </c>
      <c r="G152" s="1">
        <v>43187</v>
      </c>
      <c r="H152" t="s">
        <v>3956</v>
      </c>
      <c r="I152" s="1">
        <v>46021</v>
      </c>
      <c r="J152" s="1">
        <v>45513</v>
      </c>
    </row>
    <row r="153" spans="1:10" x14ac:dyDescent="0.3">
      <c r="A153" t="s">
        <v>3911</v>
      </c>
      <c r="B153" t="s">
        <v>920</v>
      </c>
      <c r="C153" t="s">
        <v>1267</v>
      </c>
      <c r="D153" t="s">
        <v>188</v>
      </c>
      <c r="E153" t="s">
        <v>235</v>
      </c>
      <c r="F153" t="s">
        <v>4394</v>
      </c>
      <c r="G153" s="1">
        <v>46015</v>
      </c>
      <c r="H153" t="s">
        <v>3956</v>
      </c>
      <c r="I153" s="1">
        <v>44463</v>
      </c>
      <c r="J153" s="1">
        <v>44701</v>
      </c>
    </row>
    <row r="154" spans="1:10" x14ac:dyDescent="0.3">
      <c r="A154" t="s">
        <v>3912</v>
      </c>
      <c r="B154" t="s">
        <v>923</v>
      </c>
      <c r="C154" t="s">
        <v>1270</v>
      </c>
      <c r="D154" t="s">
        <v>188</v>
      </c>
      <c r="E154" t="s">
        <v>194</v>
      </c>
      <c r="F154" t="s">
        <v>4395</v>
      </c>
      <c r="G154" s="1">
        <v>44834</v>
      </c>
      <c r="H154" s="1">
        <v>43999</v>
      </c>
      <c r="I154" s="1">
        <v>44688</v>
      </c>
      <c r="J154" s="1">
        <v>45726</v>
      </c>
    </row>
    <row r="155" spans="1:10" x14ac:dyDescent="0.3">
      <c r="A155" t="s">
        <v>3913</v>
      </c>
      <c r="B155" t="s">
        <v>924</v>
      </c>
      <c r="C155" t="s">
        <v>1271</v>
      </c>
      <c r="D155" t="s">
        <v>188</v>
      </c>
      <c r="E155" t="s">
        <v>247</v>
      </c>
      <c r="F155" t="s">
        <v>4392</v>
      </c>
      <c r="G155" s="1">
        <v>43457</v>
      </c>
      <c r="H155" t="s">
        <v>3956</v>
      </c>
      <c r="I155" s="1">
        <v>45004</v>
      </c>
      <c r="J155" s="1">
        <v>45409</v>
      </c>
    </row>
    <row r="156" spans="1:10" x14ac:dyDescent="0.3">
      <c r="A156" t="s">
        <v>3914</v>
      </c>
      <c r="B156" t="s">
        <v>925</v>
      </c>
      <c r="C156" t="s">
        <v>1272</v>
      </c>
      <c r="D156" t="s">
        <v>188</v>
      </c>
      <c r="E156" t="s">
        <v>248</v>
      </c>
      <c r="F156" t="s">
        <v>4392</v>
      </c>
      <c r="G156" s="1">
        <v>43057</v>
      </c>
      <c r="H156" t="s">
        <v>3956</v>
      </c>
      <c r="I156" s="1">
        <v>43493</v>
      </c>
      <c r="J156" s="1">
        <v>46013</v>
      </c>
    </row>
    <row r="157" spans="1:10" x14ac:dyDescent="0.3">
      <c r="A157" t="s">
        <v>3915</v>
      </c>
      <c r="B157" t="s">
        <v>927</v>
      </c>
      <c r="C157" t="s">
        <v>1274</v>
      </c>
      <c r="D157" t="s">
        <v>188</v>
      </c>
      <c r="E157" t="s">
        <v>223</v>
      </c>
      <c r="F157" t="s">
        <v>4392</v>
      </c>
      <c r="G157" s="1">
        <v>44860</v>
      </c>
      <c r="H157" t="s">
        <v>3956</v>
      </c>
      <c r="I157" s="1">
        <v>45222</v>
      </c>
      <c r="J157" s="1">
        <v>44381</v>
      </c>
    </row>
    <row r="158" spans="1:10" x14ac:dyDescent="0.3">
      <c r="A158" t="s">
        <v>3916</v>
      </c>
      <c r="B158" t="s">
        <v>931</v>
      </c>
      <c r="C158" t="s">
        <v>1278</v>
      </c>
      <c r="D158" t="s">
        <v>188</v>
      </c>
      <c r="E158" t="s">
        <v>214</v>
      </c>
      <c r="F158" t="s">
        <v>4393</v>
      </c>
      <c r="G158" s="1">
        <v>45846</v>
      </c>
      <c r="H158" t="s">
        <v>3956</v>
      </c>
      <c r="I158" s="1">
        <v>42671</v>
      </c>
      <c r="J158" s="1">
        <v>46026</v>
      </c>
    </row>
    <row r="159" spans="1:10" x14ac:dyDescent="0.3">
      <c r="A159" t="s">
        <v>3917</v>
      </c>
      <c r="B159" t="s">
        <v>932</v>
      </c>
      <c r="C159" t="s">
        <v>1279</v>
      </c>
      <c r="D159" t="s">
        <v>188</v>
      </c>
      <c r="E159" t="s">
        <v>213</v>
      </c>
      <c r="F159" t="s">
        <v>4393</v>
      </c>
      <c r="G159" s="1">
        <v>42789</v>
      </c>
      <c r="H159" t="s">
        <v>3956</v>
      </c>
      <c r="I159" s="1">
        <v>42887</v>
      </c>
      <c r="J159" s="1">
        <v>45178</v>
      </c>
    </row>
    <row r="160" spans="1:10" x14ac:dyDescent="0.3">
      <c r="A160" t="s">
        <v>3918</v>
      </c>
      <c r="B160" t="s">
        <v>933</v>
      </c>
      <c r="C160" t="s">
        <v>1280</v>
      </c>
      <c r="D160" t="s">
        <v>188</v>
      </c>
      <c r="E160" t="s">
        <v>203</v>
      </c>
      <c r="F160" t="s">
        <v>4395</v>
      </c>
      <c r="G160" s="1">
        <v>44945</v>
      </c>
      <c r="H160" t="s">
        <v>3956</v>
      </c>
      <c r="I160" s="1">
        <v>44508</v>
      </c>
      <c r="J160" s="1">
        <v>42970</v>
      </c>
    </row>
    <row r="161" spans="1:10" x14ac:dyDescent="0.3">
      <c r="A161" t="s">
        <v>3919</v>
      </c>
      <c r="B161" t="s">
        <v>934</v>
      </c>
      <c r="C161" t="s">
        <v>1281</v>
      </c>
      <c r="D161" t="s">
        <v>188</v>
      </c>
      <c r="E161" t="s">
        <v>233</v>
      </c>
      <c r="F161" t="s">
        <v>4393</v>
      </c>
      <c r="G161" s="1">
        <v>44379</v>
      </c>
      <c r="H161" s="1">
        <v>44860</v>
      </c>
      <c r="I161" s="1">
        <v>45173</v>
      </c>
      <c r="J161" s="1">
        <v>45808</v>
      </c>
    </row>
    <row r="162" spans="1:10" x14ac:dyDescent="0.3">
      <c r="A162" t="s">
        <v>3920</v>
      </c>
      <c r="B162" t="s">
        <v>935</v>
      </c>
      <c r="C162" t="s">
        <v>1282</v>
      </c>
      <c r="D162" t="s">
        <v>188</v>
      </c>
      <c r="E162" t="s">
        <v>221</v>
      </c>
      <c r="F162" t="s">
        <v>4393</v>
      </c>
      <c r="G162" s="1">
        <v>44994</v>
      </c>
      <c r="H162" t="s">
        <v>3956</v>
      </c>
      <c r="I162" s="1">
        <v>46111</v>
      </c>
      <c r="J162" s="1">
        <v>42876</v>
      </c>
    </row>
    <row r="163" spans="1:10" x14ac:dyDescent="0.3">
      <c r="A163" t="s">
        <v>3921</v>
      </c>
      <c r="B163" t="s">
        <v>936</v>
      </c>
      <c r="C163" t="s">
        <v>1283</v>
      </c>
      <c r="D163" t="s">
        <v>188</v>
      </c>
      <c r="E163" t="s">
        <v>191</v>
      </c>
      <c r="F163" t="s">
        <v>4393</v>
      </c>
      <c r="G163" s="1">
        <v>42909</v>
      </c>
      <c r="H163" s="1">
        <v>42703</v>
      </c>
      <c r="I163" s="1">
        <v>45662</v>
      </c>
      <c r="J163" s="1">
        <v>43787</v>
      </c>
    </row>
    <row r="164" spans="1:10" x14ac:dyDescent="0.3">
      <c r="A164" t="s">
        <v>3922</v>
      </c>
      <c r="B164" t="s">
        <v>937</v>
      </c>
      <c r="C164" t="s">
        <v>1284</v>
      </c>
      <c r="D164" t="s">
        <v>188</v>
      </c>
      <c r="E164" t="s">
        <v>190</v>
      </c>
      <c r="F164" t="s">
        <v>4394</v>
      </c>
      <c r="G164" s="1">
        <v>45384</v>
      </c>
      <c r="H164" s="1">
        <v>42917</v>
      </c>
      <c r="I164" s="1">
        <v>44257</v>
      </c>
      <c r="J164" s="1">
        <v>44616</v>
      </c>
    </row>
    <row r="165" spans="1:10" x14ac:dyDescent="0.3">
      <c r="A165" t="s">
        <v>3923</v>
      </c>
      <c r="B165" t="s">
        <v>977</v>
      </c>
      <c r="C165" t="s">
        <v>1324</v>
      </c>
      <c r="D165" t="s">
        <v>188</v>
      </c>
      <c r="E165" t="s">
        <v>247</v>
      </c>
      <c r="F165" t="s">
        <v>4393</v>
      </c>
      <c r="G165" s="1">
        <v>43454</v>
      </c>
      <c r="H165" s="1">
        <v>45229</v>
      </c>
      <c r="I165" s="1">
        <v>44396</v>
      </c>
      <c r="J165" s="1">
        <v>44140</v>
      </c>
    </row>
    <row r="166" spans="1:10" x14ac:dyDescent="0.3">
      <c r="A166" t="s">
        <v>3924</v>
      </c>
      <c r="B166" t="s">
        <v>979</v>
      </c>
      <c r="C166" t="s">
        <v>1326</v>
      </c>
      <c r="D166" t="s">
        <v>188</v>
      </c>
      <c r="E166" t="s">
        <v>233</v>
      </c>
      <c r="F166" t="s">
        <v>4395</v>
      </c>
      <c r="G166" s="1">
        <v>45442</v>
      </c>
      <c r="H166" s="1">
        <v>44471</v>
      </c>
      <c r="I166" s="1">
        <v>44312</v>
      </c>
      <c r="J166" s="1">
        <v>45777</v>
      </c>
    </row>
    <row r="167" spans="1:10" x14ac:dyDescent="0.3">
      <c r="A167" t="s">
        <v>3925</v>
      </c>
      <c r="B167" t="s">
        <v>980</v>
      </c>
      <c r="C167" t="s">
        <v>1327</v>
      </c>
      <c r="D167" t="s">
        <v>188</v>
      </c>
      <c r="E167" t="s">
        <v>208</v>
      </c>
      <c r="F167" t="s">
        <v>4394</v>
      </c>
      <c r="G167" s="1">
        <v>42985</v>
      </c>
      <c r="H167" s="1">
        <v>44325</v>
      </c>
      <c r="I167" s="1">
        <v>45732</v>
      </c>
      <c r="J167" s="1">
        <v>44712</v>
      </c>
    </row>
    <row r="168" spans="1:10" x14ac:dyDescent="0.3">
      <c r="A168" t="s">
        <v>3926</v>
      </c>
      <c r="B168" t="s">
        <v>983</v>
      </c>
      <c r="C168" t="s">
        <v>1330</v>
      </c>
      <c r="D168" t="s">
        <v>188</v>
      </c>
      <c r="E168" t="s">
        <v>230</v>
      </c>
      <c r="F168" t="s">
        <v>4392</v>
      </c>
      <c r="G168" s="1">
        <v>43546</v>
      </c>
      <c r="H168" s="1">
        <v>42872</v>
      </c>
      <c r="I168" s="1">
        <v>45994</v>
      </c>
      <c r="J168" s="1">
        <v>44729</v>
      </c>
    </row>
    <row r="169" spans="1:10" x14ac:dyDescent="0.3">
      <c r="A169" t="s">
        <v>3927</v>
      </c>
      <c r="B169" t="s">
        <v>984</v>
      </c>
      <c r="C169" t="s">
        <v>1331</v>
      </c>
      <c r="D169" t="s">
        <v>188</v>
      </c>
      <c r="E169" t="s">
        <v>231</v>
      </c>
      <c r="F169" t="s">
        <v>4392</v>
      </c>
      <c r="G169" s="1">
        <v>44428</v>
      </c>
      <c r="H169" t="s">
        <v>3956</v>
      </c>
      <c r="I169" s="1">
        <v>44869</v>
      </c>
      <c r="J169" s="1">
        <v>42845</v>
      </c>
    </row>
    <row r="170" spans="1:10" x14ac:dyDescent="0.3">
      <c r="A170" t="s">
        <v>3928</v>
      </c>
      <c r="B170" t="s">
        <v>986</v>
      </c>
      <c r="C170" t="s">
        <v>1332</v>
      </c>
      <c r="D170" t="s">
        <v>188</v>
      </c>
      <c r="E170" t="s">
        <v>213</v>
      </c>
      <c r="F170" t="s">
        <v>4392</v>
      </c>
      <c r="G170" s="1">
        <v>44699</v>
      </c>
      <c r="H170" t="s">
        <v>3956</v>
      </c>
      <c r="I170" s="1">
        <v>43459</v>
      </c>
      <c r="J170" s="1">
        <v>44950</v>
      </c>
    </row>
    <row r="171" spans="1:10" x14ac:dyDescent="0.3">
      <c r="A171" t="s">
        <v>3929</v>
      </c>
      <c r="B171" t="s">
        <v>987</v>
      </c>
      <c r="C171" t="s">
        <v>1333</v>
      </c>
      <c r="D171" t="s">
        <v>188</v>
      </c>
      <c r="E171" t="s">
        <v>219</v>
      </c>
      <c r="F171" t="s">
        <v>4395</v>
      </c>
      <c r="G171" s="1">
        <v>45238</v>
      </c>
      <c r="H171" s="1">
        <v>45782</v>
      </c>
      <c r="I171" s="1">
        <v>42955</v>
      </c>
      <c r="J171" s="1">
        <v>45923</v>
      </c>
    </row>
    <row r="172" spans="1:10" x14ac:dyDescent="0.3">
      <c r="A172" t="s">
        <v>3930</v>
      </c>
      <c r="B172" t="s">
        <v>989</v>
      </c>
      <c r="C172" t="s">
        <v>1335</v>
      </c>
      <c r="D172" t="s">
        <v>188</v>
      </c>
      <c r="E172" t="s">
        <v>233</v>
      </c>
      <c r="F172" t="s">
        <v>4393</v>
      </c>
      <c r="G172" s="1">
        <v>43222</v>
      </c>
      <c r="H172" t="s">
        <v>3956</v>
      </c>
      <c r="I172" s="1">
        <v>45919</v>
      </c>
      <c r="J172" s="1">
        <v>43144</v>
      </c>
    </row>
    <row r="173" spans="1:10" x14ac:dyDescent="0.3">
      <c r="A173" t="s">
        <v>3931</v>
      </c>
      <c r="B173" t="s">
        <v>990</v>
      </c>
      <c r="C173" t="s">
        <v>1132</v>
      </c>
      <c r="D173" t="s">
        <v>188</v>
      </c>
      <c r="E173" t="s">
        <v>237</v>
      </c>
      <c r="F173" t="s">
        <v>4395</v>
      </c>
      <c r="G173" s="1">
        <v>42629</v>
      </c>
      <c r="H173" s="1">
        <v>45613</v>
      </c>
      <c r="I173" s="1">
        <v>44851</v>
      </c>
      <c r="J173" s="1">
        <v>43179</v>
      </c>
    </row>
    <row r="174" spans="1:10" x14ac:dyDescent="0.3">
      <c r="A174" t="s">
        <v>3932</v>
      </c>
      <c r="B174" t="s">
        <v>996</v>
      </c>
      <c r="C174" t="s">
        <v>1341</v>
      </c>
      <c r="D174" t="s">
        <v>188</v>
      </c>
      <c r="E174" t="s">
        <v>202</v>
      </c>
      <c r="F174" t="s">
        <v>4393</v>
      </c>
      <c r="G174" s="1">
        <v>43276</v>
      </c>
      <c r="H174" s="1">
        <v>46096</v>
      </c>
      <c r="I174" s="1">
        <v>44409</v>
      </c>
      <c r="J174" s="1">
        <v>44212</v>
      </c>
    </row>
    <row r="175" spans="1:10" x14ac:dyDescent="0.3">
      <c r="A175" t="s">
        <v>3933</v>
      </c>
      <c r="B175" t="s">
        <v>997</v>
      </c>
      <c r="C175" t="s">
        <v>1342</v>
      </c>
      <c r="D175" t="s">
        <v>188</v>
      </c>
      <c r="E175" t="s">
        <v>241</v>
      </c>
      <c r="F175" t="s">
        <v>4392</v>
      </c>
      <c r="G175" s="1">
        <v>45388</v>
      </c>
      <c r="H175" s="1">
        <v>45845</v>
      </c>
      <c r="I175" s="1">
        <v>42757</v>
      </c>
      <c r="J175" s="1">
        <v>44499</v>
      </c>
    </row>
    <row r="176" spans="1:10" x14ac:dyDescent="0.3">
      <c r="A176" t="s">
        <v>3934</v>
      </c>
      <c r="B176" t="s">
        <v>998</v>
      </c>
      <c r="C176" t="s">
        <v>1343</v>
      </c>
      <c r="D176" t="s">
        <v>188</v>
      </c>
      <c r="E176" t="s">
        <v>246</v>
      </c>
      <c r="F176" t="s">
        <v>4395</v>
      </c>
      <c r="G176" s="1">
        <v>45918</v>
      </c>
      <c r="H176" s="1">
        <v>44237</v>
      </c>
      <c r="I176" s="1">
        <v>45596</v>
      </c>
      <c r="J176" s="1">
        <v>44021</v>
      </c>
    </row>
    <row r="177" spans="1:10" x14ac:dyDescent="0.3">
      <c r="A177" t="s">
        <v>3935</v>
      </c>
      <c r="B177" t="s">
        <v>999</v>
      </c>
      <c r="C177" t="s">
        <v>1344</v>
      </c>
      <c r="D177" t="s">
        <v>188</v>
      </c>
      <c r="E177" t="s">
        <v>217</v>
      </c>
      <c r="F177" t="s">
        <v>4393</v>
      </c>
      <c r="G177" s="1">
        <v>42850</v>
      </c>
      <c r="H177" s="1">
        <v>43962</v>
      </c>
      <c r="I177" s="1">
        <v>43851</v>
      </c>
      <c r="J177" s="1">
        <v>43306</v>
      </c>
    </row>
    <row r="178" spans="1:10" x14ac:dyDescent="0.3">
      <c r="A178" t="s">
        <v>3936</v>
      </c>
      <c r="B178" t="s">
        <v>1000</v>
      </c>
      <c r="C178" t="s">
        <v>1345</v>
      </c>
      <c r="D178" t="s">
        <v>188</v>
      </c>
      <c r="E178" t="s">
        <v>242</v>
      </c>
      <c r="F178" t="s">
        <v>4393</v>
      </c>
      <c r="G178" s="1">
        <v>43995</v>
      </c>
      <c r="H178" s="1">
        <v>44328</v>
      </c>
      <c r="I178" s="1">
        <v>43440</v>
      </c>
      <c r="J178" s="1">
        <v>45264</v>
      </c>
    </row>
    <row r="179" spans="1:10" x14ac:dyDescent="0.3">
      <c r="A179" t="s">
        <v>3937</v>
      </c>
      <c r="B179" t="s">
        <v>1003</v>
      </c>
      <c r="C179" t="s">
        <v>1348</v>
      </c>
      <c r="D179" t="s">
        <v>188</v>
      </c>
      <c r="E179" t="s">
        <v>242</v>
      </c>
      <c r="F179" t="s">
        <v>4392</v>
      </c>
      <c r="G179" s="1">
        <v>45760</v>
      </c>
      <c r="H179" t="s">
        <v>3956</v>
      </c>
      <c r="I179" s="1">
        <v>43428</v>
      </c>
      <c r="J179" s="1">
        <v>43865</v>
      </c>
    </row>
    <row r="180" spans="1:10" x14ac:dyDescent="0.3">
      <c r="A180" t="s">
        <v>3938</v>
      </c>
      <c r="B180" t="s">
        <v>1005</v>
      </c>
      <c r="C180" t="s">
        <v>1350</v>
      </c>
      <c r="D180" t="s">
        <v>188</v>
      </c>
      <c r="E180" t="s">
        <v>248</v>
      </c>
      <c r="F180" t="s">
        <v>4394</v>
      </c>
      <c r="G180" s="1">
        <v>45934</v>
      </c>
      <c r="H180" t="s">
        <v>3956</v>
      </c>
      <c r="I180" s="1">
        <v>45722</v>
      </c>
      <c r="J180" s="1">
        <v>44611</v>
      </c>
    </row>
    <row r="181" spans="1:10" x14ac:dyDescent="0.3">
      <c r="A181" t="s">
        <v>3939</v>
      </c>
      <c r="B181" t="s">
        <v>1006</v>
      </c>
      <c r="C181" t="s">
        <v>1351</v>
      </c>
      <c r="D181" t="s">
        <v>188</v>
      </c>
      <c r="E181" t="s">
        <v>197</v>
      </c>
      <c r="F181" t="s">
        <v>4394</v>
      </c>
      <c r="G181" s="1">
        <v>44169</v>
      </c>
      <c r="H181" s="1">
        <v>43703</v>
      </c>
      <c r="I181" s="1">
        <v>45261</v>
      </c>
      <c r="J181" s="1">
        <v>43678</v>
      </c>
    </row>
    <row r="182" spans="1:10" x14ac:dyDescent="0.3">
      <c r="A182" t="s">
        <v>3940</v>
      </c>
      <c r="B182" t="s">
        <v>1008</v>
      </c>
      <c r="C182" t="s">
        <v>1353</v>
      </c>
      <c r="D182" t="s">
        <v>188</v>
      </c>
      <c r="E182" t="s">
        <v>242</v>
      </c>
      <c r="F182" t="s">
        <v>4394</v>
      </c>
      <c r="G182" s="1">
        <v>43579</v>
      </c>
      <c r="H182" s="1">
        <v>45149</v>
      </c>
      <c r="I182" s="1">
        <v>43064</v>
      </c>
      <c r="J182" s="1">
        <v>45318</v>
      </c>
    </row>
    <row r="183" spans="1:10" x14ac:dyDescent="0.3">
      <c r="A183" t="s">
        <v>3941</v>
      </c>
      <c r="B183" t="s">
        <v>1026</v>
      </c>
      <c r="C183" t="s">
        <v>1371</v>
      </c>
      <c r="D183" t="s">
        <v>188</v>
      </c>
      <c r="E183" t="s">
        <v>196</v>
      </c>
      <c r="F183" t="s">
        <v>4395</v>
      </c>
      <c r="G183" s="1">
        <v>45194</v>
      </c>
      <c r="H183" s="1">
        <v>42720</v>
      </c>
      <c r="I183" s="1">
        <v>43604</v>
      </c>
      <c r="J183" s="1">
        <v>43201</v>
      </c>
    </row>
    <row r="184" spans="1:10" x14ac:dyDescent="0.3">
      <c r="A184" t="s">
        <v>3942</v>
      </c>
      <c r="B184" t="s">
        <v>1027</v>
      </c>
      <c r="C184" t="s">
        <v>1372</v>
      </c>
      <c r="D184" t="s">
        <v>188</v>
      </c>
      <c r="E184" t="s">
        <v>218</v>
      </c>
      <c r="F184" t="s">
        <v>4395</v>
      </c>
      <c r="G184" s="1">
        <v>42628</v>
      </c>
      <c r="H184" s="1">
        <v>45581</v>
      </c>
      <c r="I184" s="1">
        <v>45558</v>
      </c>
      <c r="J184" s="1">
        <v>44656</v>
      </c>
    </row>
    <row r="185" spans="1:10" x14ac:dyDescent="0.3">
      <c r="A185" t="s">
        <v>3943</v>
      </c>
      <c r="B185" t="s">
        <v>1029</v>
      </c>
      <c r="C185" t="s">
        <v>1374</v>
      </c>
      <c r="D185" t="s">
        <v>188</v>
      </c>
      <c r="E185" t="s">
        <v>228</v>
      </c>
      <c r="F185" t="s">
        <v>4392</v>
      </c>
      <c r="G185" s="1">
        <v>46036</v>
      </c>
      <c r="H185" t="s">
        <v>3956</v>
      </c>
      <c r="I185" s="1">
        <v>43615</v>
      </c>
      <c r="J185" s="1">
        <v>45646</v>
      </c>
    </row>
    <row r="186" spans="1:10" x14ac:dyDescent="0.3">
      <c r="A186" t="s">
        <v>3944</v>
      </c>
      <c r="B186" t="s">
        <v>1030</v>
      </c>
      <c r="C186" t="s">
        <v>1375</v>
      </c>
      <c r="D186" t="s">
        <v>188</v>
      </c>
      <c r="E186" t="s">
        <v>195</v>
      </c>
      <c r="F186" t="s">
        <v>4394</v>
      </c>
      <c r="G186" s="1">
        <v>43170</v>
      </c>
      <c r="H186" s="1">
        <v>43231</v>
      </c>
      <c r="I186" s="1">
        <v>43037</v>
      </c>
      <c r="J186" s="1">
        <v>44233</v>
      </c>
    </row>
    <row r="187" spans="1:10" x14ac:dyDescent="0.3">
      <c r="A187" t="s">
        <v>3945</v>
      </c>
      <c r="B187" t="s">
        <v>1031</v>
      </c>
      <c r="C187" t="s">
        <v>1376</v>
      </c>
      <c r="D187" t="s">
        <v>188</v>
      </c>
      <c r="E187" t="s">
        <v>204</v>
      </c>
      <c r="F187" t="s">
        <v>4395</v>
      </c>
      <c r="G187" s="1">
        <v>43419</v>
      </c>
      <c r="H187" s="1">
        <v>43363</v>
      </c>
      <c r="I187" s="1">
        <v>46143</v>
      </c>
      <c r="J187" s="1">
        <v>44143</v>
      </c>
    </row>
    <row r="188" spans="1:10" x14ac:dyDescent="0.3">
      <c r="A188" t="s">
        <v>3946</v>
      </c>
      <c r="B188" t="s">
        <v>1032</v>
      </c>
      <c r="C188" t="s">
        <v>1377</v>
      </c>
      <c r="D188" t="s">
        <v>188</v>
      </c>
      <c r="E188" t="s">
        <v>238</v>
      </c>
      <c r="F188" t="s">
        <v>4395</v>
      </c>
      <c r="G188" s="1">
        <v>45505</v>
      </c>
      <c r="H188" s="1">
        <v>45407</v>
      </c>
      <c r="I188" s="1">
        <v>45025</v>
      </c>
      <c r="J188" s="1">
        <v>44586</v>
      </c>
    </row>
    <row r="189" spans="1:10" x14ac:dyDescent="0.3">
      <c r="A189" t="s">
        <v>3947</v>
      </c>
      <c r="B189" t="s">
        <v>1036</v>
      </c>
      <c r="C189" t="s">
        <v>1381</v>
      </c>
      <c r="D189" t="s">
        <v>188</v>
      </c>
      <c r="E189" t="s">
        <v>221</v>
      </c>
      <c r="F189" t="s">
        <v>4392</v>
      </c>
      <c r="G189" s="1">
        <v>45394</v>
      </c>
      <c r="H189" s="1">
        <v>42776</v>
      </c>
      <c r="I189" s="1">
        <v>45022</v>
      </c>
      <c r="J189" s="1">
        <v>45272</v>
      </c>
    </row>
    <row r="190" spans="1:10" x14ac:dyDescent="0.3">
      <c r="A190" t="s">
        <v>3948</v>
      </c>
      <c r="B190" t="s">
        <v>1037</v>
      </c>
      <c r="C190" t="s">
        <v>1382</v>
      </c>
      <c r="D190" t="s">
        <v>188</v>
      </c>
      <c r="E190" t="s">
        <v>191</v>
      </c>
      <c r="F190" t="s">
        <v>4394</v>
      </c>
      <c r="G190" s="1">
        <v>45973</v>
      </c>
      <c r="H190" s="1">
        <v>43131</v>
      </c>
      <c r="I190" s="1">
        <v>45834</v>
      </c>
      <c r="J190" s="1">
        <v>45238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5"/>
  <sheetViews>
    <sheetView workbookViewId="0">
      <selection activeCell="K209" sqref="K209"/>
    </sheetView>
  </sheetViews>
  <sheetFormatPr defaultRowHeight="14.4" x14ac:dyDescent="0.3"/>
  <cols>
    <col min="1" max="1" width="11" customWidth="1"/>
    <col min="2" max="2" width="25.109375" bestFit="1" customWidth="1"/>
    <col min="3" max="4" width="12.33203125" customWidth="1"/>
    <col min="5" max="5" width="16.44140625" bestFit="1" customWidth="1"/>
    <col min="6" max="6" width="14.44140625" customWidth="1"/>
    <col min="7" max="7" width="17.33203125" customWidth="1"/>
    <col min="8" max="8" width="12.77734375" customWidth="1"/>
    <col min="9" max="9" width="19.21875" customWidth="1"/>
  </cols>
  <sheetData>
    <row r="1" spans="1:9" x14ac:dyDescent="0.3">
      <c r="A1" t="s">
        <v>4045</v>
      </c>
      <c r="B1" t="s">
        <v>4396</v>
      </c>
      <c r="C1" t="s">
        <v>1</v>
      </c>
      <c r="D1" t="s">
        <v>2</v>
      </c>
      <c r="E1" t="s">
        <v>3</v>
      </c>
      <c r="F1" t="s">
        <v>4046</v>
      </c>
      <c r="G1" t="s">
        <v>4047</v>
      </c>
      <c r="H1" t="s">
        <v>6</v>
      </c>
      <c r="I1" t="s">
        <v>7</v>
      </c>
    </row>
    <row r="2" spans="1:9" x14ac:dyDescent="0.3">
      <c r="A2" t="s">
        <v>4048</v>
      </c>
      <c r="B2" t="s">
        <v>2383</v>
      </c>
      <c r="C2" t="s">
        <v>2683</v>
      </c>
      <c r="D2" t="s">
        <v>189</v>
      </c>
      <c r="E2" t="s">
        <v>201</v>
      </c>
      <c r="F2" t="s">
        <v>4262</v>
      </c>
      <c r="G2" t="s">
        <v>4003</v>
      </c>
      <c r="H2" t="s">
        <v>4272</v>
      </c>
      <c r="I2" t="s">
        <v>4346</v>
      </c>
    </row>
    <row r="3" spans="1:9" x14ac:dyDescent="0.3">
      <c r="A3" t="s">
        <v>4049</v>
      </c>
      <c r="B3" t="s">
        <v>2385</v>
      </c>
      <c r="C3" t="s">
        <v>2685</v>
      </c>
      <c r="D3" t="s">
        <v>189</v>
      </c>
      <c r="E3" t="s">
        <v>209</v>
      </c>
      <c r="F3" t="s">
        <v>4263</v>
      </c>
      <c r="G3" t="s">
        <v>4003</v>
      </c>
      <c r="H3" t="s">
        <v>4019</v>
      </c>
      <c r="I3" t="s">
        <v>4347</v>
      </c>
    </row>
    <row r="4" spans="1:9" x14ac:dyDescent="0.3">
      <c r="A4" t="s">
        <v>4050</v>
      </c>
      <c r="B4" t="s">
        <v>2386</v>
      </c>
      <c r="C4" t="s">
        <v>2686</v>
      </c>
      <c r="D4" t="s">
        <v>189</v>
      </c>
      <c r="E4" t="s">
        <v>224</v>
      </c>
      <c r="F4" t="s">
        <v>4263</v>
      </c>
      <c r="G4" t="s">
        <v>4268</v>
      </c>
      <c r="H4" t="s">
        <v>4273</v>
      </c>
      <c r="I4" t="s">
        <v>460</v>
      </c>
    </row>
    <row r="5" spans="1:9" x14ac:dyDescent="0.3">
      <c r="A5" t="s">
        <v>4051</v>
      </c>
      <c r="B5" t="s">
        <v>2389</v>
      </c>
      <c r="C5" t="s">
        <v>2689</v>
      </c>
      <c r="D5" t="s">
        <v>189</v>
      </c>
      <c r="E5" t="s">
        <v>228</v>
      </c>
      <c r="F5" t="s">
        <v>4264</v>
      </c>
      <c r="G5" t="s">
        <v>4003</v>
      </c>
      <c r="H5" t="s">
        <v>4274</v>
      </c>
      <c r="I5" t="s">
        <v>4338</v>
      </c>
    </row>
    <row r="6" spans="1:9" x14ac:dyDescent="0.3">
      <c r="A6" t="s">
        <v>4052</v>
      </c>
      <c r="B6" t="s">
        <v>2395</v>
      </c>
      <c r="C6" t="s">
        <v>2695</v>
      </c>
      <c r="D6" t="s">
        <v>189</v>
      </c>
      <c r="E6" t="s">
        <v>245</v>
      </c>
      <c r="F6" t="s">
        <v>4263</v>
      </c>
      <c r="G6" t="s">
        <v>4004</v>
      </c>
      <c r="H6" t="s">
        <v>4275</v>
      </c>
      <c r="I6" t="s">
        <v>4348</v>
      </c>
    </row>
    <row r="7" spans="1:9" x14ac:dyDescent="0.3">
      <c r="A7" t="s">
        <v>4053</v>
      </c>
      <c r="B7" t="s">
        <v>2397</v>
      </c>
      <c r="C7" t="s">
        <v>2697</v>
      </c>
      <c r="D7" t="s">
        <v>189</v>
      </c>
      <c r="E7" t="s">
        <v>228</v>
      </c>
      <c r="F7" t="s">
        <v>4265</v>
      </c>
      <c r="G7" t="s">
        <v>4269</v>
      </c>
      <c r="H7" t="s">
        <v>4276</v>
      </c>
      <c r="I7" t="s">
        <v>3979</v>
      </c>
    </row>
    <row r="8" spans="1:9" x14ac:dyDescent="0.3">
      <c r="A8" t="s">
        <v>4054</v>
      </c>
      <c r="B8" t="s">
        <v>2398</v>
      </c>
      <c r="C8" t="s">
        <v>2698</v>
      </c>
      <c r="D8" t="s">
        <v>189</v>
      </c>
      <c r="E8" t="s">
        <v>209</v>
      </c>
      <c r="F8" t="s">
        <v>4262</v>
      </c>
      <c r="G8" t="s">
        <v>4270</v>
      </c>
      <c r="H8" t="s">
        <v>3658</v>
      </c>
      <c r="I8" t="s">
        <v>2120</v>
      </c>
    </row>
    <row r="9" spans="1:9" x14ac:dyDescent="0.3">
      <c r="A9" t="s">
        <v>4055</v>
      </c>
      <c r="B9" t="s">
        <v>2400</v>
      </c>
      <c r="C9" t="s">
        <v>2700</v>
      </c>
      <c r="D9" t="s">
        <v>189</v>
      </c>
      <c r="E9" t="s">
        <v>216</v>
      </c>
      <c r="F9" t="s">
        <v>4266</v>
      </c>
      <c r="G9" t="s">
        <v>4003</v>
      </c>
      <c r="H9" t="s">
        <v>2355</v>
      </c>
      <c r="I9" t="s">
        <v>677</v>
      </c>
    </row>
    <row r="10" spans="1:9" x14ac:dyDescent="0.3">
      <c r="A10" t="s">
        <v>4056</v>
      </c>
      <c r="B10" t="s">
        <v>2401</v>
      </c>
      <c r="C10" t="s">
        <v>2701</v>
      </c>
      <c r="D10" t="s">
        <v>189</v>
      </c>
      <c r="E10" t="s">
        <v>215</v>
      </c>
      <c r="F10" t="s">
        <v>4265</v>
      </c>
      <c r="G10" t="s">
        <v>4271</v>
      </c>
      <c r="H10" t="s">
        <v>481</v>
      </c>
      <c r="I10" t="s">
        <v>2204</v>
      </c>
    </row>
    <row r="11" spans="1:9" x14ac:dyDescent="0.3">
      <c r="A11" t="s">
        <v>4057</v>
      </c>
      <c r="B11" t="s">
        <v>2403</v>
      </c>
      <c r="C11" t="s">
        <v>2703</v>
      </c>
      <c r="D11" t="s">
        <v>189</v>
      </c>
      <c r="E11" t="s">
        <v>206</v>
      </c>
      <c r="F11" t="s">
        <v>4267</v>
      </c>
      <c r="G11" t="s">
        <v>4271</v>
      </c>
      <c r="H11" t="s">
        <v>3978</v>
      </c>
      <c r="I11" t="s">
        <v>488</v>
      </c>
    </row>
    <row r="12" spans="1:9" x14ac:dyDescent="0.3">
      <c r="A12" t="s">
        <v>4058</v>
      </c>
      <c r="B12" t="s">
        <v>2405</v>
      </c>
      <c r="C12" t="s">
        <v>2705</v>
      </c>
      <c r="D12" t="s">
        <v>189</v>
      </c>
      <c r="E12" t="s">
        <v>238</v>
      </c>
      <c r="F12" t="s">
        <v>4267</v>
      </c>
      <c r="G12" t="s">
        <v>4269</v>
      </c>
      <c r="H12" t="s">
        <v>4277</v>
      </c>
      <c r="I12" t="s">
        <v>3533</v>
      </c>
    </row>
    <row r="13" spans="1:9" x14ac:dyDescent="0.3">
      <c r="A13" t="s">
        <v>4059</v>
      </c>
      <c r="B13" t="s">
        <v>2411</v>
      </c>
      <c r="C13" t="s">
        <v>2711</v>
      </c>
      <c r="D13" t="s">
        <v>189</v>
      </c>
      <c r="E13" t="s">
        <v>194</v>
      </c>
      <c r="F13" t="s">
        <v>4265</v>
      </c>
      <c r="G13" t="s">
        <v>4269</v>
      </c>
      <c r="H13" t="s">
        <v>4278</v>
      </c>
      <c r="I13" t="s">
        <v>4349</v>
      </c>
    </row>
    <row r="14" spans="1:9" x14ac:dyDescent="0.3">
      <c r="A14" t="s">
        <v>4060</v>
      </c>
      <c r="B14" t="s">
        <v>2412</v>
      </c>
      <c r="C14" t="s">
        <v>2712</v>
      </c>
      <c r="D14" t="s">
        <v>189</v>
      </c>
      <c r="E14" t="s">
        <v>197</v>
      </c>
      <c r="F14" t="s">
        <v>4267</v>
      </c>
      <c r="G14" t="s">
        <v>4268</v>
      </c>
      <c r="H14" t="s">
        <v>472</v>
      </c>
      <c r="I14" t="s">
        <v>1950</v>
      </c>
    </row>
    <row r="15" spans="1:9" x14ac:dyDescent="0.3">
      <c r="A15" t="s">
        <v>4061</v>
      </c>
      <c r="B15" t="s">
        <v>2414</v>
      </c>
      <c r="C15" t="s">
        <v>2714</v>
      </c>
      <c r="D15" t="s">
        <v>189</v>
      </c>
      <c r="E15" t="s">
        <v>241</v>
      </c>
      <c r="F15" t="s">
        <v>4263</v>
      </c>
      <c r="G15" t="s">
        <v>4004</v>
      </c>
      <c r="H15" t="s">
        <v>4279</v>
      </c>
      <c r="I15" t="s">
        <v>2118</v>
      </c>
    </row>
    <row r="16" spans="1:9" x14ac:dyDescent="0.3">
      <c r="A16" t="s">
        <v>4062</v>
      </c>
      <c r="B16" t="s">
        <v>2415</v>
      </c>
      <c r="C16" t="s">
        <v>2715</v>
      </c>
      <c r="D16" t="s">
        <v>189</v>
      </c>
      <c r="E16" t="s">
        <v>195</v>
      </c>
      <c r="F16" t="s">
        <v>4264</v>
      </c>
      <c r="G16" t="s">
        <v>4268</v>
      </c>
      <c r="H16" t="s">
        <v>4280</v>
      </c>
      <c r="I16" t="s">
        <v>1836</v>
      </c>
    </row>
    <row r="17" spans="1:9" x14ac:dyDescent="0.3">
      <c r="A17" t="s">
        <v>4063</v>
      </c>
      <c r="B17" t="s">
        <v>2416</v>
      </c>
      <c r="C17" t="s">
        <v>2716</v>
      </c>
      <c r="D17" t="s">
        <v>189</v>
      </c>
      <c r="E17" t="s">
        <v>204</v>
      </c>
      <c r="F17" t="s">
        <v>4266</v>
      </c>
      <c r="G17" t="s">
        <v>4004</v>
      </c>
      <c r="H17" t="s">
        <v>3961</v>
      </c>
      <c r="I17" t="s">
        <v>3385</v>
      </c>
    </row>
    <row r="18" spans="1:9" x14ac:dyDescent="0.3">
      <c r="A18" t="s">
        <v>4064</v>
      </c>
      <c r="B18" t="s">
        <v>2418</v>
      </c>
      <c r="C18" t="s">
        <v>2718</v>
      </c>
      <c r="D18" t="s">
        <v>189</v>
      </c>
      <c r="E18" t="s">
        <v>240</v>
      </c>
      <c r="F18" t="s">
        <v>4266</v>
      </c>
      <c r="G18" t="s">
        <v>4271</v>
      </c>
      <c r="H18" t="s">
        <v>482</v>
      </c>
      <c r="I18" t="s">
        <v>408</v>
      </c>
    </row>
    <row r="19" spans="1:9" x14ac:dyDescent="0.3">
      <c r="A19" t="s">
        <v>4065</v>
      </c>
      <c r="B19" t="s">
        <v>2419</v>
      </c>
      <c r="C19" t="s">
        <v>2719</v>
      </c>
      <c r="D19" t="s">
        <v>189</v>
      </c>
      <c r="E19" t="s">
        <v>238</v>
      </c>
      <c r="F19" t="s">
        <v>4262</v>
      </c>
      <c r="G19" t="s">
        <v>4004</v>
      </c>
      <c r="H19" t="s">
        <v>4281</v>
      </c>
      <c r="I19" t="s">
        <v>4350</v>
      </c>
    </row>
    <row r="20" spans="1:9" x14ac:dyDescent="0.3">
      <c r="A20" t="s">
        <v>4066</v>
      </c>
      <c r="B20" t="s">
        <v>2420</v>
      </c>
      <c r="C20" t="s">
        <v>2720</v>
      </c>
      <c r="D20" t="s">
        <v>189</v>
      </c>
      <c r="E20" t="s">
        <v>228</v>
      </c>
      <c r="F20" t="s">
        <v>4264</v>
      </c>
      <c r="G20" t="s">
        <v>4270</v>
      </c>
      <c r="H20" t="s">
        <v>4282</v>
      </c>
      <c r="I20" t="s">
        <v>4340</v>
      </c>
    </row>
    <row r="21" spans="1:9" x14ac:dyDescent="0.3">
      <c r="A21" t="s">
        <v>4067</v>
      </c>
      <c r="B21" t="s">
        <v>2421</v>
      </c>
      <c r="C21" t="s">
        <v>2721</v>
      </c>
      <c r="D21" t="s">
        <v>189</v>
      </c>
      <c r="E21" t="s">
        <v>225</v>
      </c>
      <c r="F21" t="s">
        <v>4267</v>
      </c>
      <c r="G21" t="s">
        <v>4268</v>
      </c>
      <c r="H21" t="s">
        <v>426</v>
      </c>
      <c r="I21" t="s">
        <v>4344</v>
      </c>
    </row>
    <row r="22" spans="1:9" x14ac:dyDescent="0.3">
      <c r="A22" t="s">
        <v>4068</v>
      </c>
      <c r="B22" t="s">
        <v>2422</v>
      </c>
      <c r="C22" t="s">
        <v>2722</v>
      </c>
      <c r="D22" t="s">
        <v>189</v>
      </c>
      <c r="E22" t="s">
        <v>235</v>
      </c>
      <c r="F22" t="s">
        <v>4266</v>
      </c>
      <c r="G22" t="s">
        <v>4270</v>
      </c>
      <c r="H22" t="s">
        <v>4020</v>
      </c>
      <c r="I22" t="s">
        <v>4345</v>
      </c>
    </row>
    <row r="23" spans="1:9" x14ac:dyDescent="0.3">
      <c r="A23" t="s">
        <v>4069</v>
      </c>
      <c r="B23" t="s">
        <v>2423</v>
      </c>
      <c r="C23" t="s">
        <v>2723</v>
      </c>
      <c r="D23" t="s">
        <v>189</v>
      </c>
      <c r="E23" t="s">
        <v>225</v>
      </c>
      <c r="F23" t="s">
        <v>4266</v>
      </c>
      <c r="G23" t="s">
        <v>4269</v>
      </c>
      <c r="H23" t="s">
        <v>4283</v>
      </c>
      <c r="I23" t="s">
        <v>626</v>
      </c>
    </row>
    <row r="24" spans="1:9" x14ac:dyDescent="0.3">
      <c r="A24" t="s">
        <v>4070</v>
      </c>
      <c r="B24" t="s">
        <v>2426</v>
      </c>
      <c r="C24" t="s">
        <v>2726</v>
      </c>
      <c r="D24" t="s">
        <v>189</v>
      </c>
      <c r="E24" t="s">
        <v>206</v>
      </c>
      <c r="F24" t="s">
        <v>4263</v>
      </c>
      <c r="G24" t="s">
        <v>4268</v>
      </c>
      <c r="H24" t="s">
        <v>285</v>
      </c>
      <c r="I24" t="s">
        <v>353</v>
      </c>
    </row>
    <row r="25" spans="1:9" x14ac:dyDescent="0.3">
      <c r="A25" t="s">
        <v>4071</v>
      </c>
      <c r="B25" t="s">
        <v>2427</v>
      </c>
      <c r="C25" t="s">
        <v>2727</v>
      </c>
      <c r="D25" t="s">
        <v>189</v>
      </c>
      <c r="E25" t="s">
        <v>202</v>
      </c>
      <c r="F25" t="s">
        <v>4267</v>
      </c>
      <c r="G25" t="s">
        <v>4270</v>
      </c>
      <c r="H25" t="s">
        <v>1816</v>
      </c>
      <c r="I25" t="s">
        <v>289</v>
      </c>
    </row>
    <row r="26" spans="1:9" x14ac:dyDescent="0.3">
      <c r="A26" t="s">
        <v>4072</v>
      </c>
      <c r="B26" t="s">
        <v>2429</v>
      </c>
      <c r="C26" t="s">
        <v>2729</v>
      </c>
      <c r="D26" t="s">
        <v>189</v>
      </c>
      <c r="E26" t="s">
        <v>227</v>
      </c>
      <c r="F26" t="s">
        <v>4262</v>
      </c>
      <c r="G26" t="s">
        <v>4004</v>
      </c>
      <c r="H26" t="s">
        <v>1926</v>
      </c>
      <c r="I26" t="s">
        <v>3967</v>
      </c>
    </row>
    <row r="27" spans="1:9" x14ac:dyDescent="0.3">
      <c r="A27" t="s">
        <v>4073</v>
      </c>
      <c r="B27" t="s">
        <v>2431</v>
      </c>
      <c r="C27" t="s">
        <v>2731</v>
      </c>
      <c r="D27" t="s">
        <v>189</v>
      </c>
      <c r="E27" t="s">
        <v>240</v>
      </c>
      <c r="F27" t="s">
        <v>4266</v>
      </c>
      <c r="G27" t="s">
        <v>4270</v>
      </c>
      <c r="H27" t="s">
        <v>4043</v>
      </c>
      <c r="I27" t="s">
        <v>4351</v>
      </c>
    </row>
    <row r="28" spans="1:9" x14ac:dyDescent="0.3">
      <c r="A28" t="s">
        <v>4074</v>
      </c>
      <c r="B28" t="s">
        <v>2435</v>
      </c>
      <c r="C28" t="s">
        <v>2735</v>
      </c>
      <c r="D28" t="s">
        <v>189</v>
      </c>
      <c r="E28" t="s">
        <v>191</v>
      </c>
      <c r="F28" t="s">
        <v>4264</v>
      </c>
      <c r="G28" t="s">
        <v>4269</v>
      </c>
      <c r="H28" t="s">
        <v>4012</v>
      </c>
      <c r="I28" t="s">
        <v>520</v>
      </c>
    </row>
    <row r="29" spans="1:9" x14ac:dyDescent="0.3">
      <c r="A29" t="s">
        <v>4075</v>
      </c>
      <c r="B29" t="s">
        <v>2437</v>
      </c>
      <c r="C29" t="s">
        <v>2737</v>
      </c>
      <c r="D29" t="s">
        <v>189</v>
      </c>
      <c r="E29" t="s">
        <v>200</v>
      </c>
      <c r="F29" t="s">
        <v>4263</v>
      </c>
      <c r="G29" t="s">
        <v>4268</v>
      </c>
      <c r="H29" t="s">
        <v>3976</v>
      </c>
      <c r="I29" t="s">
        <v>2075</v>
      </c>
    </row>
    <row r="30" spans="1:9" x14ac:dyDescent="0.3">
      <c r="A30" t="s">
        <v>4076</v>
      </c>
      <c r="B30" t="s">
        <v>2440</v>
      </c>
      <c r="C30" t="s">
        <v>2740</v>
      </c>
      <c r="D30" t="s">
        <v>189</v>
      </c>
      <c r="E30" t="s">
        <v>220</v>
      </c>
      <c r="F30" t="s">
        <v>4264</v>
      </c>
      <c r="G30" t="s">
        <v>4271</v>
      </c>
      <c r="H30" t="s">
        <v>506</v>
      </c>
      <c r="I30" t="s">
        <v>3322</v>
      </c>
    </row>
    <row r="31" spans="1:9" x14ac:dyDescent="0.3">
      <c r="A31" t="s">
        <v>4077</v>
      </c>
      <c r="B31" t="s">
        <v>2441</v>
      </c>
      <c r="C31" t="s">
        <v>2741</v>
      </c>
      <c r="D31" t="s">
        <v>189</v>
      </c>
      <c r="E31" t="s">
        <v>230</v>
      </c>
      <c r="F31" t="s">
        <v>4263</v>
      </c>
      <c r="G31" t="s">
        <v>4268</v>
      </c>
      <c r="H31" t="s">
        <v>3738</v>
      </c>
      <c r="I31" t="s">
        <v>3352</v>
      </c>
    </row>
    <row r="32" spans="1:9" x14ac:dyDescent="0.3">
      <c r="A32" t="s">
        <v>4078</v>
      </c>
      <c r="B32" t="s">
        <v>2442</v>
      </c>
      <c r="C32" t="s">
        <v>2742</v>
      </c>
      <c r="D32" t="s">
        <v>189</v>
      </c>
      <c r="E32" t="s">
        <v>237</v>
      </c>
      <c r="F32" t="s">
        <v>4265</v>
      </c>
      <c r="G32" t="s">
        <v>4271</v>
      </c>
      <c r="H32" t="s">
        <v>1898</v>
      </c>
      <c r="I32" t="s">
        <v>3387</v>
      </c>
    </row>
    <row r="33" spans="1:9" x14ac:dyDescent="0.3">
      <c r="A33" t="s">
        <v>4079</v>
      </c>
      <c r="B33" t="s">
        <v>2443</v>
      </c>
      <c r="C33" t="s">
        <v>2743</v>
      </c>
      <c r="D33" t="s">
        <v>189</v>
      </c>
      <c r="E33" t="s">
        <v>198</v>
      </c>
      <c r="F33" t="s">
        <v>4262</v>
      </c>
      <c r="G33" t="s">
        <v>4003</v>
      </c>
      <c r="H33" t="s">
        <v>4284</v>
      </c>
      <c r="I33" t="s">
        <v>1828</v>
      </c>
    </row>
    <row r="34" spans="1:9" x14ac:dyDescent="0.3">
      <c r="A34" t="s">
        <v>4080</v>
      </c>
      <c r="B34" t="s">
        <v>2444</v>
      </c>
      <c r="C34" t="s">
        <v>2744</v>
      </c>
      <c r="D34" t="s">
        <v>189</v>
      </c>
      <c r="E34" t="s">
        <v>215</v>
      </c>
      <c r="F34" t="s">
        <v>4264</v>
      </c>
      <c r="G34" t="s">
        <v>4268</v>
      </c>
      <c r="H34" t="s">
        <v>4285</v>
      </c>
      <c r="I34" t="s">
        <v>4352</v>
      </c>
    </row>
    <row r="35" spans="1:9" x14ac:dyDescent="0.3">
      <c r="A35" t="s">
        <v>4081</v>
      </c>
      <c r="B35" t="s">
        <v>2445</v>
      </c>
      <c r="C35" t="s">
        <v>2745</v>
      </c>
      <c r="D35" t="s">
        <v>189</v>
      </c>
      <c r="E35" t="s">
        <v>246</v>
      </c>
      <c r="F35" t="s">
        <v>4263</v>
      </c>
      <c r="G35" t="s">
        <v>4270</v>
      </c>
      <c r="H35" t="s">
        <v>4023</v>
      </c>
      <c r="I35" t="s">
        <v>4353</v>
      </c>
    </row>
    <row r="36" spans="1:9" x14ac:dyDescent="0.3">
      <c r="A36" t="s">
        <v>4082</v>
      </c>
      <c r="B36" t="s">
        <v>2447</v>
      </c>
      <c r="C36" t="s">
        <v>2747</v>
      </c>
      <c r="D36" t="s">
        <v>189</v>
      </c>
      <c r="E36" t="s">
        <v>241</v>
      </c>
      <c r="F36" t="s">
        <v>4265</v>
      </c>
      <c r="G36" t="s">
        <v>4270</v>
      </c>
      <c r="H36" t="s">
        <v>4286</v>
      </c>
      <c r="I36" t="s">
        <v>4354</v>
      </c>
    </row>
    <row r="37" spans="1:9" x14ac:dyDescent="0.3">
      <c r="A37" t="s">
        <v>4083</v>
      </c>
      <c r="B37" t="s">
        <v>2450</v>
      </c>
      <c r="C37" t="s">
        <v>2750</v>
      </c>
      <c r="D37" t="s">
        <v>189</v>
      </c>
      <c r="E37" t="s">
        <v>218</v>
      </c>
      <c r="F37" t="s">
        <v>4265</v>
      </c>
      <c r="G37" t="s">
        <v>4269</v>
      </c>
      <c r="H37" t="s">
        <v>4287</v>
      </c>
      <c r="I37" t="s">
        <v>3745</v>
      </c>
    </row>
    <row r="38" spans="1:9" x14ac:dyDescent="0.3">
      <c r="A38" t="s">
        <v>4084</v>
      </c>
      <c r="B38" t="s">
        <v>2484</v>
      </c>
      <c r="C38" t="s">
        <v>2784</v>
      </c>
      <c r="D38" t="s">
        <v>189</v>
      </c>
      <c r="E38" t="s">
        <v>230</v>
      </c>
      <c r="F38" t="s">
        <v>4264</v>
      </c>
      <c r="G38" t="s">
        <v>4003</v>
      </c>
      <c r="H38" t="s">
        <v>2220</v>
      </c>
      <c r="I38" t="s">
        <v>4355</v>
      </c>
    </row>
    <row r="39" spans="1:9" x14ac:dyDescent="0.3">
      <c r="A39" t="s">
        <v>4085</v>
      </c>
      <c r="B39" t="s">
        <v>2485</v>
      </c>
      <c r="C39" t="s">
        <v>2785</v>
      </c>
      <c r="D39" t="s">
        <v>189</v>
      </c>
      <c r="E39" t="s">
        <v>213</v>
      </c>
      <c r="F39" t="s">
        <v>4264</v>
      </c>
      <c r="G39" t="s">
        <v>4003</v>
      </c>
      <c r="H39" t="s">
        <v>3585</v>
      </c>
      <c r="I39" t="s">
        <v>2048</v>
      </c>
    </row>
    <row r="40" spans="1:9" x14ac:dyDescent="0.3">
      <c r="A40" t="s">
        <v>4086</v>
      </c>
      <c r="B40" t="s">
        <v>2486</v>
      </c>
      <c r="C40" t="s">
        <v>2786</v>
      </c>
      <c r="D40" t="s">
        <v>189</v>
      </c>
      <c r="E40" t="s">
        <v>195</v>
      </c>
      <c r="F40" t="s">
        <v>4264</v>
      </c>
      <c r="G40" t="s">
        <v>4269</v>
      </c>
      <c r="H40" t="s">
        <v>1764</v>
      </c>
      <c r="I40" t="s">
        <v>4356</v>
      </c>
    </row>
    <row r="41" spans="1:9" x14ac:dyDescent="0.3">
      <c r="A41" t="s">
        <v>4087</v>
      </c>
      <c r="B41" t="s">
        <v>2487</v>
      </c>
      <c r="C41" t="s">
        <v>2787</v>
      </c>
      <c r="D41" t="s">
        <v>189</v>
      </c>
      <c r="E41" t="s">
        <v>203</v>
      </c>
      <c r="F41" t="s">
        <v>4262</v>
      </c>
      <c r="G41" t="s">
        <v>4270</v>
      </c>
      <c r="H41" t="s">
        <v>4288</v>
      </c>
      <c r="I41" t="s">
        <v>3606</v>
      </c>
    </row>
    <row r="42" spans="1:9" x14ac:dyDescent="0.3">
      <c r="A42" t="s">
        <v>4088</v>
      </c>
      <c r="B42" t="s">
        <v>2488</v>
      </c>
      <c r="C42" t="s">
        <v>2788</v>
      </c>
      <c r="D42" t="s">
        <v>189</v>
      </c>
      <c r="E42" t="s">
        <v>215</v>
      </c>
      <c r="F42" t="s">
        <v>4267</v>
      </c>
      <c r="G42" t="s">
        <v>4268</v>
      </c>
      <c r="H42" t="s">
        <v>495</v>
      </c>
      <c r="I42" t="s">
        <v>3378</v>
      </c>
    </row>
    <row r="43" spans="1:9" x14ac:dyDescent="0.3">
      <c r="A43" t="s">
        <v>4089</v>
      </c>
      <c r="B43" t="s">
        <v>2490</v>
      </c>
      <c r="C43" t="s">
        <v>2790</v>
      </c>
      <c r="D43" t="s">
        <v>189</v>
      </c>
      <c r="E43" t="s">
        <v>242</v>
      </c>
      <c r="F43" t="s">
        <v>4266</v>
      </c>
      <c r="G43" t="s">
        <v>4268</v>
      </c>
      <c r="H43" t="s">
        <v>4289</v>
      </c>
      <c r="I43" t="s">
        <v>1834</v>
      </c>
    </row>
    <row r="44" spans="1:9" x14ac:dyDescent="0.3">
      <c r="A44" t="s">
        <v>4090</v>
      </c>
      <c r="B44" t="s">
        <v>2491</v>
      </c>
      <c r="C44" t="s">
        <v>2791</v>
      </c>
      <c r="D44" t="s">
        <v>189</v>
      </c>
      <c r="E44" t="s">
        <v>246</v>
      </c>
      <c r="F44" t="s">
        <v>4262</v>
      </c>
      <c r="G44" t="s">
        <v>4270</v>
      </c>
      <c r="H44" t="s">
        <v>2337</v>
      </c>
      <c r="I44" t="s">
        <v>4024</v>
      </c>
    </row>
    <row r="45" spans="1:9" x14ac:dyDescent="0.3">
      <c r="A45" t="s">
        <v>4091</v>
      </c>
      <c r="B45" t="s">
        <v>2509</v>
      </c>
      <c r="C45" t="s">
        <v>2809</v>
      </c>
      <c r="D45" t="s">
        <v>189</v>
      </c>
      <c r="E45" t="s">
        <v>219</v>
      </c>
      <c r="F45" t="s">
        <v>4265</v>
      </c>
      <c r="G45" t="s">
        <v>4004</v>
      </c>
      <c r="H45" t="s">
        <v>4290</v>
      </c>
      <c r="I45" t="s">
        <v>3963</v>
      </c>
    </row>
    <row r="46" spans="1:9" x14ac:dyDescent="0.3">
      <c r="A46" t="s">
        <v>4092</v>
      </c>
      <c r="B46" t="s">
        <v>2512</v>
      </c>
      <c r="C46" t="s">
        <v>2812</v>
      </c>
      <c r="D46" t="s">
        <v>189</v>
      </c>
      <c r="E46" t="s">
        <v>245</v>
      </c>
      <c r="F46" t="s">
        <v>4267</v>
      </c>
      <c r="G46" t="s">
        <v>4004</v>
      </c>
      <c r="H46" t="s">
        <v>313</v>
      </c>
      <c r="I46" t="s">
        <v>4309</v>
      </c>
    </row>
    <row r="47" spans="1:9" x14ac:dyDescent="0.3">
      <c r="A47" t="s">
        <v>4093</v>
      </c>
      <c r="B47" t="s">
        <v>2513</v>
      </c>
      <c r="C47" t="s">
        <v>2813</v>
      </c>
      <c r="D47" t="s">
        <v>189</v>
      </c>
      <c r="E47" t="s">
        <v>194</v>
      </c>
      <c r="F47" t="s">
        <v>4266</v>
      </c>
      <c r="G47" t="s">
        <v>4004</v>
      </c>
      <c r="H47" t="s">
        <v>2326</v>
      </c>
      <c r="I47" t="s">
        <v>4357</v>
      </c>
    </row>
    <row r="48" spans="1:9" x14ac:dyDescent="0.3">
      <c r="A48" t="s">
        <v>4094</v>
      </c>
      <c r="B48" t="s">
        <v>2520</v>
      </c>
      <c r="C48" t="s">
        <v>2820</v>
      </c>
      <c r="D48" t="s">
        <v>189</v>
      </c>
      <c r="E48" t="s">
        <v>248</v>
      </c>
      <c r="F48" t="s">
        <v>4266</v>
      </c>
      <c r="G48" t="s">
        <v>4004</v>
      </c>
      <c r="H48" t="s">
        <v>3966</v>
      </c>
      <c r="I48" t="s">
        <v>471</v>
      </c>
    </row>
    <row r="49" spans="1:9" x14ac:dyDescent="0.3">
      <c r="A49" t="s">
        <v>4095</v>
      </c>
      <c r="B49" t="s">
        <v>2521</v>
      </c>
      <c r="C49" t="s">
        <v>2821</v>
      </c>
      <c r="D49" t="s">
        <v>189</v>
      </c>
      <c r="E49" t="s">
        <v>198</v>
      </c>
      <c r="F49" t="s">
        <v>4266</v>
      </c>
      <c r="G49" t="s">
        <v>4269</v>
      </c>
      <c r="H49" t="s">
        <v>622</v>
      </c>
      <c r="I49" t="s">
        <v>4358</v>
      </c>
    </row>
    <row r="50" spans="1:9" x14ac:dyDescent="0.3">
      <c r="A50" t="s">
        <v>4096</v>
      </c>
      <c r="B50" t="s">
        <v>2523</v>
      </c>
      <c r="C50" t="s">
        <v>2823</v>
      </c>
      <c r="D50" t="s">
        <v>189</v>
      </c>
      <c r="E50" t="s">
        <v>221</v>
      </c>
      <c r="F50" t="s">
        <v>4264</v>
      </c>
      <c r="G50" t="s">
        <v>4268</v>
      </c>
      <c r="H50" t="s">
        <v>324</v>
      </c>
      <c r="I50" t="s">
        <v>4038</v>
      </c>
    </row>
    <row r="51" spans="1:9" x14ac:dyDescent="0.3">
      <c r="A51" t="s">
        <v>4097</v>
      </c>
      <c r="B51" t="s">
        <v>2525</v>
      </c>
      <c r="C51" t="s">
        <v>2825</v>
      </c>
      <c r="D51" t="s">
        <v>189</v>
      </c>
      <c r="E51" t="s">
        <v>194</v>
      </c>
      <c r="F51" t="s">
        <v>4266</v>
      </c>
      <c r="G51" t="s">
        <v>4004</v>
      </c>
      <c r="H51" t="s">
        <v>3475</v>
      </c>
      <c r="I51" t="s">
        <v>4359</v>
      </c>
    </row>
    <row r="52" spans="1:9" x14ac:dyDescent="0.3">
      <c r="A52" t="s">
        <v>4098</v>
      </c>
      <c r="B52" t="s">
        <v>2526</v>
      </c>
      <c r="C52" t="s">
        <v>2826</v>
      </c>
      <c r="D52" t="s">
        <v>189</v>
      </c>
      <c r="E52" t="s">
        <v>227</v>
      </c>
      <c r="F52" t="s">
        <v>4263</v>
      </c>
      <c r="G52" t="s">
        <v>4269</v>
      </c>
      <c r="H52" t="s">
        <v>342</v>
      </c>
      <c r="I52" t="s">
        <v>1752</v>
      </c>
    </row>
    <row r="53" spans="1:9" x14ac:dyDescent="0.3">
      <c r="A53" t="s">
        <v>4099</v>
      </c>
      <c r="B53" t="s">
        <v>2529</v>
      </c>
      <c r="C53" t="s">
        <v>2829</v>
      </c>
      <c r="D53" t="s">
        <v>189</v>
      </c>
      <c r="E53" t="s">
        <v>219</v>
      </c>
      <c r="F53" t="s">
        <v>4265</v>
      </c>
      <c r="G53" t="s">
        <v>4271</v>
      </c>
      <c r="H53" t="s">
        <v>3350</v>
      </c>
      <c r="I53" t="s">
        <v>3323</v>
      </c>
    </row>
    <row r="54" spans="1:9" x14ac:dyDescent="0.3">
      <c r="A54" t="s">
        <v>4100</v>
      </c>
      <c r="B54" t="s">
        <v>2530</v>
      </c>
      <c r="C54" t="s">
        <v>2830</v>
      </c>
      <c r="D54" t="s">
        <v>189</v>
      </c>
      <c r="E54" t="s">
        <v>200</v>
      </c>
      <c r="F54" t="s">
        <v>4262</v>
      </c>
      <c r="G54" t="s">
        <v>4269</v>
      </c>
      <c r="H54" t="s">
        <v>4039</v>
      </c>
      <c r="I54" t="s">
        <v>3975</v>
      </c>
    </row>
    <row r="55" spans="1:9" x14ac:dyDescent="0.3">
      <c r="A55" t="s">
        <v>4101</v>
      </c>
      <c r="B55" t="s">
        <v>2532</v>
      </c>
      <c r="C55" t="s">
        <v>2832</v>
      </c>
      <c r="D55" t="s">
        <v>189</v>
      </c>
      <c r="E55" t="s">
        <v>237</v>
      </c>
      <c r="F55" t="s">
        <v>4262</v>
      </c>
      <c r="G55" t="s">
        <v>4271</v>
      </c>
      <c r="H55" t="s">
        <v>676</v>
      </c>
      <c r="I55" t="s">
        <v>298</v>
      </c>
    </row>
    <row r="56" spans="1:9" x14ac:dyDescent="0.3">
      <c r="A56" t="s">
        <v>4102</v>
      </c>
      <c r="B56" t="s">
        <v>2533</v>
      </c>
      <c r="C56" t="s">
        <v>2833</v>
      </c>
      <c r="D56" t="s">
        <v>189</v>
      </c>
      <c r="E56" t="s">
        <v>237</v>
      </c>
      <c r="F56" t="s">
        <v>4266</v>
      </c>
      <c r="G56" t="s">
        <v>4003</v>
      </c>
      <c r="H56" t="s">
        <v>420</v>
      </c>
      <c r="I56" t="s">
        <v>3325</v>
      </c>
    </row>
    <row r="57" spans="1:9" x14ac:dyDescent="0.3">
      <c r="A57" t="s">
        <v>4103</v>
      </c>
      <c r="B57" t="s">
        <v>2535</v>
      </c>
      <c r="C57" t="s">
        <v>2835</v>
      </c>
      <c r="D57" t="s">
        <v>189</v>
      </c>
      <c r="E57" t="s">
        <v>196</v>
      </c>
      <c r="F57" t="s">
        <v>4267</v>
      </c>
      <c r="G57" t="s">
        <v>4004</v>
      </c>
      <c r="H57" t="s">
        <v>4291</v>
      </c>
      <c r="I57" t="s">
        <v>4017</v>
      </c>
    </row>
    <row r="58" spans="1:9" x14ac:dyDescent="0.3">
      <c r="A58" t="s">
        <v>4104</v>
      </c>
      <c r="B58" t="s">
        <v>2539</v>
      </c>
      <c r="C58" t="s">
        <v>2839</v>
      </c>
      <c r="D58" t="s">
        <v>189</v>
      </c>
      <c r="E58" t="s">
        <v>249</v>
      </c>
      <c r="F58" t="s">
        <v>4263</v>
      </c>
      <c r="G58" t="s">
        <v>4003</v>
      </c>
      <c r="H58" t="s">
        <v>3657</v>
      </c>
      <c r="I58" t="s">
        <v>2068</v>
      </c>
    </row>
    <row r="59" spans="1:9" x14ac:dyDescent="0.3">
      <c r="A59" t="s">
        <v>4105</v>
      </c>
      <c r="B59" t="s">
        <v>2540</v>
      </c>
      <c r="C59" t="s">
        <v>2840</v>
      </c>
      <c r="D59" t="s">
        <v>189</v>
      </c>
      <c r="E59" t="s">
        <v>194</v>
      </c>
      <c r="F59" t="s">
        <v>4265</v>
      </c>
      <c r="G59" t="s">
        <v>4268</v>
      </c>
      <c r="H59" t="s">
        <v>600</v>
      </c>
      <c r="I59" t="s">
        <v>4360</v>
      </c>
    </row>
    <row r="60" spans="1:9" x14ac:dyDescent="0.3">
      <c r="A60" t="s">
        <v>4106</v>
      </c>
      <c r="B60" t="s">
        <v>2541</v>
      </c>
      <c r="C60" t="s">
        <v>2841</v>
      </c>
      <c r="D60" t="s">
        <v>189</v>
      </c>
      <c r="E60" t="s">
        <v>193</v>
      </c>
      <c r="F60" t="s">
        <v>4263</v>
      </c>
      <c r="G60" t="s">
        <v>4268</v>
      </c>
      <c r="H60" t="s">
        <v>4292</v>
      </c>
      <c r="I60" t="s">
        <v>2166</v>
      </c>
    </row>
    <row r="61" spans="1:9" x14ac:dyDescent="0.3">
      <c r="A61" t="s">
        <v>4107</v>
      </c>
      <c r="B61" t="s">
        <v>2545</v>
      </c>
      <c r="C61" t="s">
        <v>2845</v>
      </c>
      <c r="D61" t="s">
        <v>189</v>
      </c>
      <c r="E61" t="s">
        <v>222</v>
      </c>
      <c r="F61" t="s">
        <v>4262</v>
      </c>
      <c r="G61" t="s">
        <v>4268</v>
      </c>
      <c r="H61" t="s">
        <v>1847</v>
      </c>
      <c r="I61" t="s">
        <v>3972</v>
      </c>
    </row>
    <row r="62" spans="1:9" x14ac:dyDescent="0.3">
      <c r="A62" t="s">
        <v>4108</v>
      </c>
      <c r="B62" t="s">
        <v>2546</v>
      </c>
      <c r="C62" t="s">
        <v>2846</v>
      </c>
      <c r="D62" t="s">
        <v>189</v>
      </c>
      <c r="E62" t="s">
        <v>248</v>
      </c>
      <c r="F62" t="s">
        <v>4266</v>
      </c>
      <c r="G62" t="s">
        <v>4268</v>
      </c>
      <c r="H62" t="s">
        <v>642</v>
      </c>
      <c r="I62" t="s">
        <v>4025</v>
      </c>
    </row>
    <row r="63" spans="1:9" x14ac:dyDescent="0.3">
      <c r="A63" t="s">
        <v>4109</v>
      </c>
      <c r="B63" t="s">
        <v>2565</v>
      </c>
      <c r="C63" t="s">
        <v>2865</v>
      </c>
      <c r="D63" t="s">
        <v>189</v>
      </c>
      <c r="E63" t="s">
        <v>247</v>
      </c>
      <c r="F63" t="s">
        <v>4264</v>
      </c>
      <c r="G63" t="s">
        <v>4268</v>
      </c>
      <c r="H63" t="s">
        <v>4293</v>
      </c>
      <c r="I63" t="s">
        <v>4361</v>
      </c>
    </row>
    <row r="64" spans="1:9" x14ac:dyDescent="0.3">
      <c r="A64" t="s">
        <v>4110</v>
      </c>
      <c r="B64" t="s">
        <v>2568</v>
      </c>
      <c r="C64" t="s">
        <v>2868</v>
      </c>
      <c r="D64" t="s">
        <v>189</v>
      </c>
      <c r="E64" t="s">
        <v>239</v>
      </c>
      <c r="F64" t="s">
        <v>4267</v>
      </c>
      <c r="G64" t="s">
        <v>4270</v>
      </c>
      <c r="H64" t="s">
        <v>4294</v>
      </c>
      <c r="I64" t="s">
        <v>4362</v>
      </c>
    </row>
    <row r="65" spans="1:9" x14ac:dyDescent="0.3">
      <c r="A65" t="s">
        <v>4111</v>
      </c>
      <c r="B65" t="s">
        <v>2569</v>
      </c>
      <c r="C65" t="s">
        <v>2869</v>
      </c>
      <c r="D65" t="s">
        <v>189</v>
      </c>
      <c r="E65" t="s">
        <v>201</v>
      </c>
      <c r="F65" t="s">
        <v>4267</v>
      </c>
      <c r="G65" t="s">
        <v>4003</v>
      </c>
      <c r="H65" t="s">
        <v>2229</v>
      </c>
      <c r="I65" t="s">
        <v>4363</v>
      </c>
    </row>
    <row r="66" spans="1:9" x14ac:dyDescent="0.3">
      <c r="A66" t="s">
        <v>4112</v>
      </c>
      <c r="B66" t="s">
        <v>2572</v>
      </c>
      <c r="C66" t="s">
        <v>2872</v>
      </c>
      <c r="D66" t="s">
        <v>189</v>
      </c>
      <c r="E66" t="s">
        <v>203</v>
      </c>
      <c r="F66" t="s">
        <v>4266</v>
      </c>
      <c r="G66" t="s">
        <v>4003</v>
      </c>
      <c r="H66" t="s">
        <v>3734</v>
      </c>
      <c r="I66" t="s">
        <v>2193</v>
      </c>
    </row>
    <row r="67" spans="1:9" x14ac:dyDescent="0.3">
      <c r="A67" t="s">
        <v>4113</v>
      </c>
      <c r="B67" t="s">
        <v>2576</v>
      </c>
      <c r="C67" t="s">
        <v>2876</v>
      </c>
      <c r="D67" t="s">
        <v>189</v>
      </c>
      <c r="E67" t="s">
        <v>236</v>
      </c>
      <c r="F67" t="s">
        <v>4266</v>
      </c>
      <c r="G67" t="s">
        <v>4003</v>
      </c>
      <c r="H67" t="s">
        <v>1846</v>
      </c>
      <c r="I67" t="s">
        <v>1778</v>
      </c>
    </row>
    <row r="68" spans="1:9" x14ac:dyDescent="0.3">
      <c r="A68" t="s">
        <v>4114</v>
      </c>
      <c r="B68" t="s">
        <v>2577</v>
      </c>
      <c r="C68" t="s">
        <v>2877</v>
      </c>
      <c r="D68" t="s">
        <v>189</v>
      </c>
      <c r="E68" t="s">
        <v>230</v>
      </c>
      <c r="F68" t="s">
        <v>4264</v>
      </c>
      <c r="G68" t="s">
        <v>4003</v>
      </c>
      <c r="H68" t="s">
        <v>1917</v>
      </c>
      <c r="I68" t="s">
        <v>3949</v>
      </c>
    </row>
    <row r="69" spans="1:9" x14ac:dyDescent="0.3">
      <c r="A69" t="s">
        <v>4115</v>
      </c>
      <c r="B69" t="s">
        <v>2581</v>
      </c>
      <c r="C69" t="s">
        <v>2881</v>
      </c>
      <c r="D69" t="s">
        <v>189</v>
      </c>
      <c r="E69" t="s">
        <v>205</v>
      </c>
      <c r="F69" t="s">
        <v>4263</v>
      </c>
      <c r="G69" t="s">
        <v>4270</v>
      </c>
      <c r="H69" t="s">
        <v>502</v>
      </c>
      <c r="I69" t="s">
        <v>4364</v>
      </c>
    </row>
    <row r="70" spans="1:9" x14ac:dyDescent="0.3">
      <c r="A70" t="s">
        <v>4116</v>
      </c>
      <c r="B70" t="s">
        <v>2582</v>
      </c>
      <c r="C70" t="s">
        <v>2882</v>
      </c>
      <c r="D70" t="s">
        <v>189</v>
      </c>
      <c r="E70" t="s">
        <v>191</v>
      </c>
      <c r="F70" t="s">
        <v>4263</v>
      </c>
      <c r="G70" t="s">
        <v>4004</v>
      </c>
      <c r="H70" t="s">
        <v>485</v>
      </c>
      <c r="I70" t="s">
        <v>4365</v>
      </c>
    </row>
    <row r="71" spans="1:9" x14ac:dyDescent="0.3">
      <c r="A71" t="s">
        <v>4117</v>
      </c>
      <c r="B71" t="s">
        <v>2586</v>
      </c>
      <c r="C71" t="s">
        <v>2886</v>
      </c>
      <c r="D71" t="s">
        <v>189</v>
      </c>
      <c r="E71" t="s">
        <v>242</v>
      </c>
      <c r="F71" t="s">
        <v>4264</v>
      </c>
      <c r="G71" t="s">
        <v>4268</v>
      </c>
      <c r="H71" t="s">
        <v>4295</v>
      </c>
      <c r="I71" t="s">
        <v>4021</v>
      </c>
    </row>
    <row r="72" spans="1:9" x14ac:dyDescent="0.3">
      <c r="A72" t="s">
        <v>4118</v>
      </c>
      <c r="B72" t="s">
        <v>2587</v>
      </c>
      <c r="C72" t="s">
        <v>2887</v>
      </c>
      <c r="D72" t="s">
        <v>189</v>
      </c>
      <c r="E72" t="s">
        <v>197</v>
      </c>
      <c r="F72" t="s">
        <v>4267</v>
      </c>
      <c r="G72" t="s">
        <v>4003</v>
      </c>
      <c r="H72" t="s">
        <v>4041</v>
      </c>
      <c r="I72" t="s">
        <v>2217</v>
      </c>
    </row>
    <row r="73" spans="1:9" x14ac:dyDescent="0.3">
      <c r="A73" t="s">
        <v>4119</v>
      </c>
      <c r="B73" t="s">
        <v>2588</v>
      </c>
      <c r="C73" t="s">
        <v>2888</v>
      </c>
      <c r="D73" t="s">
        <v>189</v>
      </c>
      <c r="E73" t="s">
        <v>190</v>
      </c>
      <c r="F73" t="s">
        <v>4265</v>
      </c>
      <c r="G73" t="s">
        <v>4268</v>
      </c>
      <c r="H73" t="s">
        <v>2285</v>
      </c>
      <c r="I73" t="s">
        <v>4339</v>
      </c>
    </row>
    <row r="74" spans="1:9" x14ac:dyDescent="0.3">
      <c r="A74" t="s">
        <v>4120</v>
      </c>
      <c r="B74" t="s">
        <v>2591</v>
      </c>
      <c r="C74" t="s">
        <v>2891</v>
      </c>
      <c r="D74" t="s">
        <v>189</v>
      </c>
      <c r="E74" t="s">
        <v>193</v>
      </c>
      <c r="F74" t="s">
        <v>4265</v>
      </c>
      <c r="G74" t="s">
        <v>4004</v>
      </c>
      <c r="H74" t="s">
        <v>2278</v>
      </c>
      <c r="I74" t="s">
        <v>2045</v>
      </c>
    </row>
    <row r="75" spans="1:9" x14ac:dyDescent="0.3">
      <c r="A75" t="s">
        <v>4121</v>
      </c>
      <c r="B75" t="s">
        <v>2592</v>
      </c>
      <c r="C75" t="s">
        <v>2892</v>
      </c>
      <c r="D75" t="s">
        <v>189</v>
      </c>
      <c r="E75" t="s">
        <v>191</v>
      </c>
      <c r="F75" t="s">
        <v>4265</v>
      </c>
      <c r="G75" t="s">
        <v>4271</v>
      </c>
      <c r="H75" t="s">
        <v>4284</v>
      </c>
      <c r="I75" t="s">
        <v>275</v>
      </c>
    </row>
    <row r="76" spans="1:9" x14ac:dyDescent="0.3">
      <c r="A76" t="s">
        <v>4122</v>
      </c>
      <c r="B76" t="s">
        <v>2593</v>
      </c>
      <c r="C76" t="s">
        <v>2893</v>
      </c>
      <c r="D76" t="s">
        <v>189</v>
      </c>
      <c r="E76" t="s">
        <v>231</v>
      </c>
      <c r="F76" t="s">
        <v>4266</v>
      </c>
      <c r="G76" t="s">
        <v>4271</v>
      </c>
      <c r="H76" t="s">
        <v>4296</v>
      </c>
      <c r="I76" t="s">
        <v>454</v>
      </c>
    </row>
    <row r="77" spans="1:9" x14ac:dyDescent="0.3">
      <c r="A77" t="s">
        <v>4123</v>
      </c>
      <c r="B77" t="s">
        <v>2594</v>
      </c>
      <c r="C77" t="s">
        <v>2894</v>
      </c>
      <c r="D77" t="s">
        <v>189</v>
      </c>
      <c r="E77" t="s">
        <v>249</v>
      </c>
      <c r="F77" t="s">
        <v>4264</v>
      </c>
      <c r="G77" t="s">
        <v>4271</v>
      </c>
      <c r="H77" t="s">
        <v>4291</v>
      </c>
      <c r="I77" t="s">
        <v>1931</v>
      </c>
    </row>
    <row r="78" spans="1:9" x14ac:dyDescent="0.3">
      <c r="A78" t="s">
        <v>4124</v>
      </c>
      <c r="B78" t="s">
        <v>2595</v>
      </c>
      <c r="C78" t="s">
        <v>2895</v>
      </c>
      <c r="D78" t="s">
        <v>189</v>
      </c>
      <c r="E78" t="s">
        <v>202</v>
      </c>
      <c r="F78" t="s">
        <v>4264</v>
      </c>
      <c r="G78" t="s">
        <v>4269</v>
      </c>
      <c r="H78" t="s">
        <v>3953</v>
      </c>
      <c r="I78" t="s">
        <v>3674</v>
      </c>
    </row>
    <row r="79" spans="1:9" x14ac:dyDescent="0.3">
      <c r="A79" t="s">
        <v>4125</v>
      </c>
      <c r="B79" t="s">
        <v>2598</v>
      </c>
      <c r="C79" t="s">
        <v>2898</v>
      </c>
      <c r="D79" t="s">
        <v>189</v>
      </c>
      <c r="E79" t="s">
        <v>202</v>
      </c>
      <c r="F79" t="s">
        <v>4265</v>
      </c>
      <c r="G79" t="s">
        <v>4268</v>
      </c>
      <c r="H79" t="s">
        <v>3965</v>
      </c>
      <c r="I79" t="s">
        <v>405</v>
      </c>
    </row>
    <row r="80" spans="1:9" x14ac:dyDescent="0.3">
      <c r="A80" t="s">
        <v>4126</v>
      </c>
      <c r="B80" t="s">
        <v>2600</v>
      </c>
      <c r="C80" t="s">
        <v>2900</v>
      </c>
      <c r="D80" t="s">
        <v>189</v>
      </c>
      <c r="E80" t="s">
        <v>235</v>
      </c>
      <c r="F80" t="s">
        <v>4265</v>
      </c>
      <c r="G80" t="s">
        <v>4003</v>
      </c>
      <c r="H80" t="s">
        <v>3574</v>
      </c>
      <c r="I80" t="s">
        <v>2251</v>
      </c>
    </row>
    <row r="81" spans="1:9" x14ac:dyDescent="0.3">
      <c r="A81" t="s">
        <v>4127</v>
      </c>
      <c r="B81" t="s">
        <v>2607</v>
      </c>
      <c r="C81" t="s">
        <v>2907</v>
      </c>
      <c r="D81" t="s">
        <v>189</v>
      </c>
      <c r="E81" t="s">
        <v>192</v>
      </c>
      <c r="F81" t="s">
        <v>4267</v>
      </c>
      <c r="G81" t="s">
        <v>4271</v>
      </c>
      <c r="H81" t="s">
        <v>4018</v>
      </c>
      <c r="I81" t="s">
        <v>3983</v>
      </c>
    </row>
    <row r="82" spans="1:9" x14ac:dyDescent="0.3">
      <c r="A82" t="s">
        <v>4128</v>
      </c>
      <c r="B82" t="s">
        <v>2610</v>
      </c>
      <c r="C82" t="s">
        <v>2910</v>
      </c>
      <c r="D82" t="s">
        <v>189</v>
      </c>
      <c r="E82" t="s">
        <v>220</v>
      </c>
      <c r="F82" t="s">
        <v>4264</v>
      </c>
      <c r="G82" t="s">
        <v>4268</v>
      </c>
      <c r="H82" t="s">
        <v>570</v>
      </c>
      <c r="I82" t="s">
        <v>4366</v>
      </c>
    </row>
    <row r="83" spans="1:9" x14ac:dyDescent="0.3">
      <c r="A83" t="s">
        <v>4129</v>
      </c>
      <c r="B83" t="s">
        <v>2613</v>
      </c>
      <c r="C83" t="s">
        <v>2913</v>
      </c>
      <c r="D83" t="s">
        <v>189</v>
      </c>
      <c r="E83" t="s">
        <v>233</v>
      </c>
      <c r="F83" t="s">
        <v>4266</v>
      </c>
      <c r="G83" t="s">
        <v>4269</v>
      </c>
      <c r="H83" t="s">
        <v>4293</v>
      </c>
      <c r="I83" t="s">
        <v>1874</v>
      </c>
    </row>
    <row r="84" spans="1:9" x14ac:dyDescent="0.3">
      <c r="A84" t="s">
        <v>4130</v>
      </c>
      <c r="B84" t="s">
        <v>2615</v>
      </c>
      <c r="C84" t="s">
        <v>2915</v>
      </c>
      <c r="D84" t="s">
        <v>189</v>
      </c>
      <c r="E84" t="s">
        <v>219</v>
      </c>
      <c r="F84" t="s">
        <v>4267</v>
      </c>
      <c r="G84" t="s">
        <v>4004</v>
      </c>
      <c r="H84" t="s">
        <v>4297</v>
      </c>
      <c r="I84" t="s">
        <v>4367</v>
      </c>
    </row>
    <row r="85" spans="1:9" x14ac:dyDescent="0.3">
      <c r="A85" t="s">
        <v>4131</v>
      </c>
      <c r="B85" t="s">
        <v>2617</v>
      </c>
      <c r="C85" t="s">
        <v>2917</v>
      </c>
      <c r="D85" t="s">
        <v>189</v>
      </c>
      <c r="E85" t="s">
        <v>191</v>
      </c>
      <c r="F85" t="s">
        <v>4263</v>
      </c>
      <c r="G85" t="s">
        <v>4268</v>
      </c>
      <c r="H85" t="s">
        <v>292</v>
      </c>
      <c r="I85" t="s">
        <v>3536</v>
      </c>
    </row>
    <row r="86" spans="1:9" x14ac:dyDescent="0.3">
      <c r="A86" t="s">
        <v>4132</v>
      </c>
      <c r="B86" t="s">
        <v>2621</v>
      </c>
      <c r="C86" t="s">
        <v>2921</v>
      </c>
      <c r="D86" t="s">
        <v>189</v>
      </c>
      <c r="E86" t="s">
        <v>239</v>
      </c>
      <c r="F86" t="s">
        <v>4265</v>
      </c>
      <c r="G86" t="s">
        <v>4269</v>
      </c>
      <c r="H86" t="s">
        <v>4028</v>
      </c>
      <c r="I86" t="s">
        <v>510</v>
      </c>
    </row>
    <row r="87" spans="1:9" x14ac:dyDescent="0.3">
      <c r="A87" t="s">
        <v>4133</v>
      </c>
      <c r="B87" t="s">
        <v>2624</v>
      </c>
      <c r="C87" t="s">
        <v>2924</v>
      </c>
      <c r="D87" t="s">
        <v>189</v>
      </c>
      <c r="E87" t="s">
        <v>208</v>
      </c>
      <c r="F87" t="s">
        <v>4263</v>
      </c>
      <c r="G87" t="s">
        <v>4270</v>
      </c>
      <c r="H87" t="s">
        <v>573</v>
      </c>
      <c r="I87" t="s">
        <v>4288</v>
      </c>
    </row>
    <row r="88" spans="1:9" x14ac:dyDescent="0.3">
      <c r="A88" t="s">
        <v>4134</v>
      </c>
      <c r="B88" t="s">
        <v>2625</v>
      </c>
      <c r="C88" t="s">
        <v>2925</v>
      </c>
      <c r="D88" t="s">
        <v>189</v>
      </c>
      <c r="E88" t="s">
        <v>223</v>
      </c>
      <c r="F88" t="s">
        <v>4267</v>
      </c>
      <c r="G88" t="s">
        <v>4271</v>
      </c>
      <c r="H88" t="s">
        <v>3438</v>
      </c>
      <c r="I88" t="s">
        <v>540</v>
      </c>
    </row>
    <row r="89" spans="1:9" x14ac:dyDescent="0.3">
      <c r="A89" t="s">
        <v>4135</v>
      </c>
      <c r="B89" t="s">
        <v>2626</v>
      </c>
      <c r="C89" t="s">
        <v>2926</v>
      </c>
      <c r="D89" t="s">
        <v>189</v>
      </c>
      <c r="E89" t="s">
        <v>225</v>
      </c>
      <c r="F89" t="s">
        <v>4266</v>
      </c>
      <c r="G89" t="s">
        <v>4003</v>
      </c>
      <c r="H89" t="s">
        <v>1989</v>
      </c>
      <c r="I89" t="s">
        <v>497</v>
      </c>
    </row>
    <row r="90" spans="1:9" x14ac:dyDescent="0.3">
      <c r="A90" t="s">
        <v>4136</v>
      </c>
      <c r="B90" t="s">
        <v>2671</v>
      </c>
      <c r="C90" t="s">
        <v>2971</v>
      </c>
      <c r="D90" t="s">
        <v>189</v>
      </c>
      <c r="E90" t="s">
        <v>210</v>
      </c>
      <c r="F90" t="s">
        <v>4266</v>
      </c>
      <c r="G90" t="s">
        <v>4003</v>
      </c>
      <c r="H90" t="s">
        <v>3974</v>
      </c>
      <c r="I90" t="s">
        <v>4016</v>
      </c>
    </row>
    <row r="91" spans="1:9" x14ac:dyDescent="0.3">
      <c r="A91" t="s">
        <v>4137</v>
      </c>
      <c r="B91" t="s">
        <v>2672</v>
      </c>
      <c r="C91" t="s">
        <v>2972</v>
      </c>
      <c r="D91" t="s">
        <v>189</v>
      </c>
      <c r="E91" t="s">
        <v>193</v>
      </c>
      <c r="F91" t="s">
        <v>4267</v>
      </c>
      <c r="G91" t="s">
        <v>4004</v>
      </c>
      <c r="H91" t="s">
        <v>4007</v>
      </c>
      <c r="I91" t="s">
        <v>3955</v>
      </c>
    </row>
    <row r="92" spans="1:9" x14ac:dyDescent="0.3">
      <c r="A92" t="s">
        <v>4138</v>
      </c>
      <c r="B92" t="s">
        <v>2673</v>
      </c>
      <c r="C92" t="s">
        <v>2973</v>
      </c>
      <c r="D92" t="s">
        <v>189</v>
      </c>
      <c r="E92" t="s">
        <v>241</v>
      </c>
      <c r="F92" t="s">
        <v>4267</v>
      </c>
      <c r="G92" t="s">
        <v>4003</v>
      </c>
      <c r="H92" t="s">
        <v>3962</v>
      </c>
      <c r="I92" t="s">
        <v>4368</v>
      </c>
    </row>
    <row r="93" spans="1:9" x14ac:dyDescent="0.3">
      <c r="A93" t="s">
        <v>4139</v>
      </c>
      <c r="B93" t="s">
        <v>2674</v>
      </c>
      <c r="C93" t="s">
        <v>2974</v>
      </c>
      <c r="D93" t="s">
        <v>189</v>
      </c>
      <c r="E93" t="s">
        <v>226</v>
      </c>
      <c r="F93" t="s">
        <v>4267</v>
      </c>
      <c r="G93" t="s">
        <v>4268</v>
      </c>
      <c r="H93" t="s">
        <v>4298</v>
      </c>
      <c r="I93" t="s">
        <v>3448</v>
      </c>
    </row>
    <row r="94" spans="1:9" x14ac:dyDescent="0.3">
      <c r="A94" t="s">
        <v>4140</v>
      </c>
      <c r="B94" t="s">
        <v>2676</v>
      </c>
      <c r="C94" t="s">
        <v>2976</v>
      </c>
      <c r="D94" t="s">
        <v>189</v>
      </c>
      <c r="E94" t="s">
        <v>239</v>
      </c>
      <c r="F94" t="s">
        <v>4264</v>
      </c>
      <c r="G94" t="s">
        <v>4268</v>
      </c>
      <c r="H94" t="s">
        <v>638</v>
      </c>
      <c r="I94" t="s">
        <v>3733</v>
      </c>
    </row>
    <row r="95" spans="1:9" x14ac:dyDescent="0.3">
      <c r="A95" t="s">
        <v>4141</v>
      </c>
      <c r="B95" t="s">
        <v>2677</v>
      </c>
      <c r="C95" t="s">
        <v>2977</v>
      </c>
      <c r="D95" t="s">
        <v>189</v>
      </c>
      <c r="E95" t="s">
        <v>222</v>
      </c>
      <c r="F95" t="s">
        <v>4265</v>
      </c>
      <c r="G95" t="s">
        <v>4270</v>
      </c>
      <c r="H95" t="s">
        <v>4299</v>
      </c>
      <c r="I95" t="s">
        <v>3704</v>
      </c>
    </row>
    <row r="96" spans="1:9" x14ac:dyDescent="0.3">
      <c r="A96" t="s">
        <v>4142</v>
      </c>
      <c r="B96" t="s">
        <v>2680</v>
      </c>
      <c r="C96" t="s">
        <v>2980</v>
      </c>
      <c r="D96" t="s">
        <v>189</v>
      </c>
      <c r="E96" t="s">
        <v>220</v>
      </c>
      <c r="F96" t="s">
        <v>4264</v>
      </c>
      <c r="G96" t="s">
        <v>4004</v>
      </c>
      <c r="H96" t="s">
        <v>4300</v>
      </c>
      <c r="I96" t="s">
        <v>530</v>
      </c>
    </row>
    <row r="97" spans="1:9" x14ac:dyDescent="0.3">
      <c r="A97" t="s">
        <v>4143</v>
      </c>
      <c r="B97" t="s">
        <v>689</v>
      </c>
      <c r="C97" t="s">
        <v>1039</v>
      </c>
      <c r="D97" t="s">
        <v>188</v>
      </c>
      <c r="E97" t="s">
        <v>197</v>
      </c>
      <c r="F97" t="s">
        <v>4266</v>
      </c>
      <c r="G97" t="s">
        <v>4270</v>
      </c>
      <c r="H97" t="s">
        <v>462</v>
      </c>
      <c r="I97" t="s">
        <v>2285</v>
      </c>
    </row>
    <row r="98" spans="1:9" x14ac:dyDescent="0.3">
      <c r="A98" t="s">
        <v>4144</v>
      </c>
      <c r="B98" t="s">
        <v>692</v>
      </c>
      <c r="C98" t="s">
        <v>1042</v>
      </c>
      <c r="D98" t="s">
        <v>188</v>
      </c>
      <c r="E98" t="s">
        <v>228</v>
      </c>
      <c r="F98" t="s">
        <v>4263</v>
      </c>
      <c r="G98" t="s">
        <v>4004</v>
      </c>
      <c r="H98" t="s">
        <v>4301</v>
      </c>
      <c r="I98" t="s">
        <v>3974</v>
      </c>
    </row>
    <row r="99" spans="1:9" x14ac:dyDescent="0.3">
      <c r="A99" t="s">
        <v>4145</v>
      </c>
      <c r="B99" t="s">
        <v>693</v>
      </c>
      <c r="C99" t="s">
        <v>1043</v>
      </c>
      <c r="D99" t="s">
        <v>188</v>
      </c>
      <c r="E99" t="s">
        <v>197</v>
      </c>
      <c r="F99" t="s">
        <v>4265</v>
      </c>
      <c r="G99" t="s">
        <v>4271</v>
      </c>
      <c r="H99" t="s">
        <v>4302</v>
      </c>
      <c r="I99" t="s">
        <v>1811</v>
      </c>
    </row>
    <row r="100" spans="1:9" x14ac:dyDescent="0.3">
      <c r="A100" t="s">
        <v>4146</v>
      </c>
      <c r="B100" t="s">
        <v>694</v>
      </c>
      <c r="C100" t="s">
        <v>1044</v>
      </c>
      <c r="D100" t="s">
        <v>188</v>
      </c>
      <c r="E100" t="s">
        <v>240</v>
      </c>
      <c r="F100" t="s">
        <v>4263</v>
      </c>
      <c r="G100" t="s">
        <v>4270</v>
      </c>
      <c r="H100" t="s">
        <v>4303</v>
      </c>
      <c r="I100" t="s">
        <v>3615</v>
      </c>
    </row>
    <row r="101" spans="1:9" x14ac:dyDescent="0.3">
      <c r="A101" t="s">
        <v>4147</v>
      </c>
      <c r="B101" t="s">
        <v>695</v>
      </c>
      <c r="C101" t="s">
        <v>1045</v>
      </c>
      <c r="D101" t="s">
        <v>188</v>
      </c>
      <c r="E101" t="s">
        <v>195</v>
      </c>
      <c r="F101" t="s">
        <v>4267</v>
      </c>
      <c r="G101" t="s">
        <v>4271</v>
      </c>
      <c r="H101" t="s">
        <v>4304</v>
      </c>
      <c r="I101" t="s">
        <v>272</v>
      </c>
    </row>
    <row r="102" spans="1:9" x14ac:dyDescent="0.3">
      <c r="A102" t="s">
        <v>4148</v>
      </c>
      <c r="B102" t="s">
        <v>696</v>
      </c>
      <c r="C102" t="s">
        <v>1046</v>
      </c>
      <c r="D102" t="s">
        <v>188</v>
      </c>
      <c r="E102" t="s">
        <v>191</v>
      </c>
      <c r="F102" t="s">
        <v>4266</v>
      </c>
      <c r="G102" t="s">
        <v>4269</v>
      </c>
      <c r="H102" t="s">
        <v>4305</v>
      </c>
      <c r="I102" t="s">
        <v>4042</v>
      </c>
    </row>
    <row r="103" spans="1:9" x14ac:dyDescent="0.3">
      <c r="A103" t="s">
        <v>4149</v>
      </c>
      <c r="B103" t="s">
        <v>741</v>
      </c>
      <c r="C103" t="s">
        <v>1091</v>
      </c>
      <c r="D103" t="s">
        <v>188</v>
      </c>
      <c r="E103" t="s">
        <v>236</v>
      </c>
      <c r="F103" t="s">
        <v>4263</v>
      </c>
      <c r="G103" t="s">
        <v>4268</v>
      </c>
      <c r="H103" t="s">
        <v>4306</v>
      </c>
      <c r="I103" t="s">
        <v>4369</v>
      </c>
    </row>
    <row r="104" spans="1:9" x14ac:dyDescent="0.3">
      <c r="A104" t="s">
        <v>4150</v>
      </c>
      <c r="B104" t="s">
        <v>742</v>
      </c>
      <c r="C104" t="s">
        <v>1092</v>
      </c>
      <c r="D104" t="s">
        <v>188</v>
      </c>
      <c r="E104" t="s">
        <v>198</v>
      </c>
      <c r="F104" t="s">
        <v>4262</v>
      </c>
      <c r="G104" t="s">
        <v>4271</v>
      </c>
      <c r="H104" t="s">
        <v>639</v>
      </c>
      <c r="I104" t="s">
        <v>2105</v>
      </c>
    </row>
    <row r="105" spans="1:9" x14ac:dyDescent="0.3">
      <c r="A105" t="s">
        <v>4151</v>
      </c>
      <c r="B105" t="s">
        <v>743</v>
      </c>
      <c r="C105" t="s">
        <v>1093</v>
      </c>
      <c r="D105" t="s">
        <v>188</v>
      </c>
      <c r="E105" t="s">
        <v>227</v>
      </c>
      <c r="F105" t="s">
        <v>4263</v>
      </c>
      <c r="G105" t="s">
        <v>4004</v>
      </c>
      <c r="H105" t="s">
        <v>542</v>
      </c>
      <c r="I105" t="s">
        <v>3444</v>
      </c>
    </row>
    <row r="106" spans="1:9" x14ac:dyDescent="0.3">
      <c r="A106" t="s">
        <v>4152</v>
      </c>
      <c r="B106" t="s">
        <v>744</v>
      </c>
      <c r="C106" t="s">
        <v>1094</v>
      </c>
      <c r="D106" t="s">
        <v>188</v>
      </c>
      <c r="E106" t="s">
        <v>228</v>
      </c>
      <c r="F106" t="s">
        <v>4263</v>
      </c>
      <c r="G106" t="s">
        <v>4268</v>
      </c>
      <c r="H106" t="s">
        <v>4307</v>
      </c>
      <c r="I106" t="s">
        <v>4040</v>
      </c>
    </row>
    <row r="107" spans="1:9" x14ac:dyDescent="0.3">
      <c r="A107" t="s">
        <v>4153</v>
      </c>
      <c r="B107" t="s">
        <v>748</v>
      </c>
      <c r="C107" t="s">
        <v>1098</v>
      </c>
      <c r="D107" t="s">
        <v>188</v>
      </c>
      <c r="E107" t="s">
        <v>196</v>
      </c>
      <c r="F107" t="s">
        <v>4263</v>
      </c>
      <c r="G107" t="s">
        <v>4271</v>
      </c>
      <c r="H107" t="s">
        <v>640</v>
      </c>
      <c r="I107" t="s">
        <v>3643</v>
      </c>
    </row>
    <row r="108" spans="1:9" x14ac:dyDescent="0.3">
      <c r="A108" t="s">
        <v>4154</v>
      </c>
      <c r="B108" t="s">
        <v>749</v>
      </c>
      <c r="C108" t="s">
        <v>1099</v>
      </c>
      <c r="D108" t="s">
        <v>188</v>
      </c>
      <c r="E108" t="s">
        <v>228</v>
      </c>
      <c r="F108" t="s">
        <v>4264</v>
      </c>
      <c r="G108" t="s">
        <v>4004</v>
      </c>
      <c r="H108" t="s">
        <v>657</v>
      </c>
      <c r="I108" t="s">
        <v>2233</v>
      </c>
    </row>
    <row r="109" spans="1:9" x14ac:dyDescent="0.3">
      <c r="A109" t="s">
        <v>4155</v>
      </c>
      <c r="B109" t="s">
        <v>750</v>
      </c>
      <c r="C109" t="s">
        <v>1100</v>
      </c>
      <c r="D109" t="s">
        <v>188</v>
      </c>
      <c r="E109" t="s">
        <v>244</v>
      </c>
      <c r="F109" t="s">
        <v>4264</v>
      </c>
      <c r="G109" t="s">
        <v>4270</v>
      </c>
      <c r="H109" t="s">
        <v>2077</v>
      </c>
      <c r="I109" t="s">
        <v>493</v>
      </c>
    </row>
    <row r="110" spans="1:9" x14ac:dyDescent="0.3">
      <c r="A110" t="s">
        <v>4156</v>
      </c>
      <c r="B110" t="s">
        <v>755</v>
      </c>
      <c r="C110" t="s">
        <v>1105</v>
      </c>
      <c r="D110" t="s">
        <v>188</v>
      </c>
      <c r="E110" t="s">
        <v>216</v>
      </c>
      <c r="F110" t="s">
        <v>4265</v>
      </c>
      <c r="G110" t="s">
        <v>4004</v>
      </c>
      <c r="H110" t="s">
        <v>2067</v>
      </c>
      <c r="I110" t="s">
        <v>3959</v>
      </c>
    </row>
    <row r="111" spans="1:9" x14ac:dyDescent="0.3">
      <c r="A111" t="s">
        <v>4157</v>
      </c>
      <c r="B111" t="s">
        <v>758</v>
      </c>
      <c r="C111" t="s">
        <v>1108</v>
      </c>
      <c r="D111" t="s">
        <v>188</v>
      </c>
      <c r="E111" t="s">
        <v>237</v>
      </c>
      <c r="F111" t="s">
        <v>4265</v>
      </c>
      <c r="G111" t="s">
        <v>4271</v>
      </c>
      <c r="H111" t="s">
        <v>583</v>
      </c>
      <c r="I111" t="s">
        <v>3755</v>
      </c>
    </row>
    <row r="112" spans="1:9" x14ac:dyDescent="0.3">
      <c r="A112" t="s">
        <v>4158</v>
      </c>
      <c r="B112" t="s">
        <v>769</v>
      </c>
      <c r="C112" t="s">
        <v>1119</v>
      </c>
      <c r="D112" t="s">
        <v>188</v>
      </c>
      <c r="E112" t="s">
        <v>193</v>
      </c>
      <c r="F112" t="s">
        <v>4263</v>
      </c>
      <c r="G112" t="s">
        <v>4271</v>
      </c>
      <c r="H112" t="s">
        <v>375</v>
      </c>
      <c r="I112" t="s">
        <v>4370</v>
      </c>
    </row>
    <row r="113" spans="1:9" x14ac:dyDescent="0.3">
      <c r="A113" t="s">
        <v>4159</v>
      </c>
      <c r="B113" t="s">
        <v>770</v>
      </c>
      <c r="C113" t="s">
        <v>1120</v>
      </c>
      <c r="D113" t="s">
        <v>188</v>
      </c>
      <c r="E113" t="s">
        <v>215</v>
      </c>
      <c r="F113" t="s">
        <v>4264</v>
      </c>
      <c r="G113" t="s">
        <v>4270</v>
      </c>
      <c r="H113" t="s">
        <v>4308</v>
      </c>
      <c r="I113" t="s">
        <v>4371</v>
      </c>
    </row>
    <row r="114" spans="1:9" x14ac:dyDescent="0.3">
      <c r="A114" t="s">
        <v>4160</v>
      </c>
      <c r="B114" t="s">
        <v>771</v>
      </c>
      <c r="C114" t="s">
        <v>1121</v>
      </c>
      <c r="D114" t="s">
        <v>188</v>
      </c>
      <c r="E114" t="s">
        <v>194</v>
      </c>
      <c r="F114" t="s">
        <v>4263</v>
      </c>
      <c r="G114" t="s">
        <v>4268</v>
      </c>
      <c r="H114" t="s">
        <v>4309</v>
      </c>
      <c r="I114" t="s">
        <v>483</v>
      </c>
    </row>
    <row r="115" spans="1:9" x14ac:dyDescent="0.3">
      <c r="A115" t="s">
        <v>4161</v>
      </c>
      <c r="B115" t="s">
        <v>772</v>
      </c>
      <c r="C115" t="s">
        <v>1122</v>
      </c>
      <c r="D115" t="s">
        <v>188</v>
      </c>
      <c r="E115" t="s">
        <v>208</v>
      </c>
      <c r="F115" t="s">
        <v>4263</v>
      </c>
      <c r="G115" t="s">
        <v>4003</v>
      </c>
      <c r="H115" t="s">
        <v>4310</v>
      </c>
      <c r="I115" t="s">
        <v>322</v>
      </c>
    </row>
    <row r="116" spans="1:9" x14ac:dyDescent="0.3">
      <c r="A116" t="s">
        <v>4162</v>
      </c>
      <c r="B116" t="s">
        <v>773</v>
      </c>
      <c r="C116" t="s">
        <v>1123</v>
      </c>
      <c r="D116" t="s">
        <v>188</v>
      </c>
      <c r="E116" t="s">
        <v>190</v>
      </c>
      <c r="F116" t="s">
        <v>4267</v>
      </c>
      <c r="G116" t="s">
        <v>4269</v>
      </c>
      <c r="H116" t="s">
        <v>3740</v>
      </c>
      <c r="I116" t="s">
        <v>4372</v>
      </c>
    </row>
    <row r="117" spans="1:9" x14ac:dyDescent="0.3">
      <c r="A117" t="s">
        <v>4163</v>
      </c>
      <c r="B117" t="s">
        <v>777</v>
      </c>
      <c r="C117" t="s">
        <v>1127</v>
      </c>
      <c r="D117" t="s">
        <v>188</v>
      </c>
      <c r="E117" t="s">
        <v>223</v>
      </c>
      <c r="F117" t="s">
        <v>4262</v>
      </c>
      <c r="G117" t="s">
        <v>4270</v>
      </c>
      <c r="H117" t="s">
        <v>3747</v>
      </c>
      <c r="I117" t="s">
        <v>3405</v>
      </c>
    </row>
    <row r="118" spans="1:9" x14ac:dyDescent="0.3">
      <c r="A118" t="s">
        <v>4164</v>
      </c>
      <c r="B118" t="s">
        <v>778</v>
      </c>
      <c r="C118" t="s">
        <v>1128</v>
      </c>
      <c r="D118" t="s">
        <v>188</v>
      </c>
      <c r="E118" t="s">
        <v>235</v>
      </c>
      <c r="F118" t="s">
        <v>4266</v>
      </c>
      <c r="G118" t="s">
        <v>4003</v>
      </c>
      <c r="H118" t="s">
        <v>3981</v>
      </c>
      <c r="I118" t="s">
        <v>282</v>
      </c>
    </row>
    <row r="119" spans="1:9" x14ac:dyDescent="0.3">
      <c r="A119" t="s">
        <v>4165</v>
      </c>
      <c r="B119" t="s">
        <v>779</v>
      </c>
      <c r="C119" t="s">
        <v>1129</v>
      </c>
      <c r="D119" t="s">
        <v>188</v>
      </c>
      <c r="E119" t="s">
        <v>240</v>
      </c>
      <c r="F119" t="s">
        <v>4265</v>
      </c>
      <c r="G119" t="s">
        <v>4271</v>
      </c>
      <c r="H119" t="s">
        <v>4015</v>
      </c>
      <c r="I119" t="s">
        <v>4373</v>
      </c>
    </row>
    <row r="120" spans="1:9" x14ac:dyDescent="0.3">
      <c r="A120" t="s">
        <v>4166</v>
      </c>
      <c r="B120" t="s">
        <v>813</v>
      </c>
      <c r="C120" t="s">
        <v>1162</v>
      </c>
      <c r="D120" t="s">
        <v>188</v>
      </c>
      <c r="E120" t="s">
        <v>196</v>
      </c>
      <c r="F120" t="s">
        <v>4264</v>
      </c>
      <c r="G120" t="s">
        <v>4271</v>
      </c>
      <c r="H120" t="s">
        <v>599</v>
      </c>
      <c r="I120" t="s">
        <v>2015</v>
      </c>
    </row>
    <row r="121" spans="1:9" x14ac:dyDescent="0.3">
      <c r="A121" t="s">
        <v>4167</v>
      </c>
      <c r="B121" t="s">
        <v>815</v>
      </c>
      <c r="C121" t="s">
        <v>1164</v>
      </c>
      <c r="D121" t="s">
        <v>188</v>
      </c>
      <c r="E121" t="s">
        <v>191</v>
      </c>
      <c r="F121" t="s">
        <v>4263</v>
      </c>
      <c r="G121" t="s">
        <v>4004</v>
      </c>
      <c r="H121" t="s">
        <v>1899</v>
      </c>
      <c r="I121" t="s">
        <v>456</v>
      </c>
    </row>
    <row r="122" spans="1:9" x14ac:dyDescent="0.3">
      <c r="A122" t="s">
        <v>4168</v>
      </c>
      <c r="B122" t="s">
        <v>816</v>
      </c>
      <c r="C122" t="s">
        <v>1165</v>
      </c>
      <c r="D122" t="s">
        <v>188</v>
      </c>
      <c r="E122" t="s">
        <v>242</v>
      </c>
      <c r="F122" t="s">
        <v>4264</v>
      </c>
      <c r="G122" t="s">
        <v>4269</v>
      </c>
      <c r="H122" t="s">
        <v>4311</v>
      </c>
      <c r="I122" t="s">
        <v>3954</v>
      </c>
    </row>
    <row r="123" spans="1:9" x14ac:dyDescent="0.3">
      <c r="A123" t="s">
        <v>4169</v>
      </c>
      <c r="B123" t="s">
        <v>818</v>
      </c>
      <c r="C123" t="s">
        <v>1167</v>
      </c>
      <c r="D123" t="s">
        <v>188</v>
      </c>
      <c r="E123" t="s">
        <v>204</v>
      </c>
      <c r="F123" t="s">
        <v>4264</v>
      </c>
      <c r="G123" t="s">
        <v>4003</v>
      </c>
      <c r="H123" t="s">
        <v>287</v>
      </c>
      <c r="I123" t="s">
        <v>352</v>
      </c>
    </row>
    <row r="124" spans="1:9" x14ac:dyDescent="0.3">
      <c r="A124" t="s">
        <v>4170</v>
      </c>
      <c r="B124" t="s">
        <v>820</v>
      </c>
      <c r="C124" t="s">
        <v>1169</v>
      </c>
      <c r="D124" t="s">
        <v>188</v>
      </c>
      <c r="E124" t="s">
        <v>238</v>
      </c>
      <c r="F124" t="s">
        <v>4263</v>
      </c>
      <c r="G124" t="s">
        <v>4269</v>
      </c>
      <c r="H124" t="s">
        <v>4312</v>
      </c>
      <c r="I124" t="s">
        <v>4374</v>
      </c>
    </row>
    <row r="125" spans="1:9" x14ac:dyDescent="0.3">
      <c r="A125" t="s">
        <v>4171</v>
      </c>
      <c r="B125" t="s">
        <v>821</v>
      </c>
      <c r="C125" t="s">
        <v>1170</v>
      </c>
      <c r="D125" t="s">
        <v>188</v>
      </c>
      <c r="E125" t="s">
        <v>211</v>
      </c>
      <c r="F125" t="s">
        <v>4263</v>
      </c>
      <c r="G125" t="s">
        <v>4003</v>
      </c>
      <c r="H125" t="s">
        <v>1749</v>
      </c>
      <c r="I125" t="s">
        <v>4375</v>
      </c>
    </row>
    <row r="126" spans="1:9" x14ac:dyDescent="0.3">
      <c r="A126" t="s">
        <v>4172</v>
      </c>
      <c r="B126" t="s">
        <v>822</v>
      </c>
      <c r="C126" t="s">
        <v>1171</v>
      </c>
      <c r="D126" t="s">
        <v>188</v>
      </c>
      <c r="E126" t="s">
        <v>210</v>
      </c>
      <c r="F126" t="s">
        <v>4267</v>
      </c>
      <c r="G126" t="s">
        <v>4269</v>
      </c>
      <c r="H126" t="s">
        <v>4313</v>
      </c>
      <c r="I126" t="s">
        <v>4376</v>
      </c>
    </row>
    <row r="127" spans="1:9" x14ac:dyDescent="0.3">
      <c r="A127" t="s">
        <v>4173</v>
      </c>
      <c r="B127" t="s">
        <v>824</v>
      </c>
      <c r="C127" t="s">
        <v>1173</v>
      </c>
      <c r="D127" t="s">
        <v>188</v>
      </c>
      <c r="E127" t="s">
        <v>234</v>
      </c>
      <c r="F127" t="s">
        <v>4264</v>
      </c>
      <c r="G127" t="s">
        <v>4271</v>
      </c>
      <c r="H127" t="s">
        <v>3581</v>
      </c>
      <c r="I127" t="s">
        <v>3712</v>
      </c>
    </row>
    <row r="128" spans="1:9" x14ac:dyDescent="0.3">
      <c r="A128" t="s">
        <v>4174</v>
      </c>
      <c r="B128" t="s">
        <v>825</v>
      </c>
      <c r="C128" t="s">
        <v>1174</v>
      </c>
      <c r="D128" t="s">
        <v>188</v>
      </c>
      <c r="E128" t="s">
        <v>196</v>
      </c>
      <c r="F128" t="s">
        <v>4266</v>
      </c>
      <c r="G128" t="s">
        <v>4270</v>
      </c>
      <c r="H128" t="s">
        <v>2251</v>
      </c>
      <c r="I128" t="s">
        <v>3669</v>
      </c>
    </row>
    <row r="129" spans="1:9" x14ac:dyDescent="0.3">
      <c r="A129" t="s">
        <v>4175</v>
      </c>
      <c r="B129" t="s">
        <v>826</v>
      </c>
      <c r="C129" t="s">
        <v>1175</v>
      </c>
      <c r="D129" t="s">
        <v>188</v>
      </c>
      <c r="E129" t="s">
        <v>243</v>
      </c>
      <c r="F129" t="s">
        <v>4265</v>
      </c>
      <c r="G129" t="s">
        <v>4003</v>
      </c>
      <c r="H129" t="s">
        <v>4029</v>
      </c>
      <c r="I129" t="s">
        <v>285</v>
      </c>
    </row>
    <row r="130" spans="1:9" x14ac:dyDescent="0.3">
      <c r="A130" t="s">
        <v>4176</v>
      </c>
      <c r="B130" t="s">
        <v>828</v>
      </c>
      <c r="C130" t="s">
        <v>1177</v>
      </c>
      <c r="D130" t="s">
        <v>188</v>
      </c>
      <c r="E130" t="s">
        <v>246</v>
      </c>
      <c r="F130" t="s">
        <v>4263</v>
      </c>
      <c r="G130" t="s">
        <v>4270</v>
      </c>
      <c r="H130" t="s">
        <v>4314</v>
      </c>
      <c r="I130" t="s">
        <v>3695</v>
      </c>
    </row>
    <row r="131" spans="1:9" x14ac:dyDescent="0.3">
      <c r="A131" t="s">
        <v>4177</v>
      </c>
      <c r="B131" t="s">
        <v>829</v>
      </c>
      <c r="C131" t="s">
        <v>1178</v>
      </c>
      <c r="D131" t="s">
        <v>188</v>
      </c>
      <c r="E131" t="s">
        <v>235</v>
      </c>
      <c r="F131" t="s">
        <v>4266</v>
      </c>
      <c r="G131" t="s">
        <v>4269</v>
      </c>
      <c r="H131" t="s">
        <v>415</v>
      </c>
      <c r="I131" t="s">
        <v>4377</v>
      </c>
    </row>
    <row r="132" spans="1:9" x14ac:dyDescent="0.3">
      <c r="A132" t="s">
        <v>4178</v>
      </c>
      <c r="B132" t="s">
        <v>830</v>
      </c>
      <c r="C132" t="s">
        <v>1179</v>
      </c>
      <c r="D132" t="s">
        <v>188</v>
      </c>
      <c r="E132" t="s">
        <v>220</v>
      </c>
      <c r="F132" t="s">
        <v>4265</v>
      </c>
      <c r="G132" t="s">
        <v>4270</v>
      </c>
      <c r="H132" t="s">
        <v>4009</v>
      </c>
      <c r="I132" t="s">
        <v>3977</v>
      </c>
    </row>
    <row r="133" spans="1:9" x14ac:dyDescent="0.3">
      <c r="A133" t="s">
        <v>4179</v>
      </c>
      <c r="B133" t="s">
        <v>831</v>
      </c>
      <c r="C133" t="s">
        <v>1180</v>
      </c>
      <c r="D133" t="s">
        <v>188</v>
      </c>
      <c r="E133" t="s">
        <v>190</v>
      </c>
      <c r="F133" t="s">
        <v>4262</v>
      </c>
      <c r="G133" t="s">
        <v>4269</v>
      </c>
      <c r="H133" t="s">
        <v>4315</v>
      </c>
      <c r="I133" t="s">
        <v>3594</v>
      </c>
    </row>
    <row r="134" spans="1:9" x14ac:dyDescent="0.3">
      <c r="A134" t="s">
        <v>4180</v>
      </c>
      <c r="B134" t="s">
        <v>832</v>
      </c>
      <c r="C134" t="s">
        <v>1181</v>
      </c>
      <c r="D134" t="s">
        <v>188</v>
      </c>
      <c r="E134" t="s">
        <v>231</v>
      </c>
      <c r="F134" t="s">
        <v>4267</v>
      </c>
      <c r="G134" t="s">
        <v>4271</v>
      </c>
      <c r="H134" t="s">
        <v>309</v>
      </c>
      <c r="I134" t="s">
        <v>4013</v>
      </c>
    </row>
    <row r="135" spans="1:9" x14ac:dyDescent="0.3">
      <c r="A135" t="s">
        <v>4181</v>
      </c>
      <c r="B135" t="s">
        <v>833</v>
      </c>
      <c r="C135" t="s">
        <v>1182</v>
      </c>
      <c r="D135" t="s">
        <v>188</v>
      </c>
      <c r="E135" t="s">
        <v>244</v>
      </c>
      <c r="F135" t="s">
        <v>4267</v>
      </c>
      <c r="G135" t="s">
        <v>4271</v>
      </c>
      <c r="H135" t="s">
        <v>3346</v>
      </c>
      <c r="I135" t="s">
        <v>4341</v>
      </c>
    </row>
    <row r="136" spans="1:9" x14ac:dyDescent="0.3">
      <c r="A136" t="s">
        <v>4182</v>
      </c>
      <c r="B136" t="s">
        <v>834</v>
      </c>
      <c r="C136" t="s">
        <v>1183</v>
      </c>
      <c r="D136" t="s">
        <v>188</v>
      </c>
      <c r="E136" t="s">
        <v>206</v>
      </c>
      <c r="F136" t="s">
        <v>4266</v>
      </c>
      <c r="G136" t="s">
        <v>4003</v>
      </c>
      <c r="H136" t="s">
        <v>4316</v>
      </c>
      <c r="I136" t="s">
        <v>679</v>
      </c>
    </row>
    <row r="137" spans="1:9" x14ac:dyDescent="0.3">
      <c r="A137" t="s">
        <v>4183</v>
      </c>
      <c r="B137" t="s">
        <v>836</v>
      </c>
      <c r="C137" t="s">
        <v>1185</v>
      </c>
      <c r="D137" t="s">
        <v>188</v>
      </c>
      <c r="E137" t="s">
        <v>218</v>
      </c>
      <c r="F137" t="s">
        <v>4263</v>
      </c>
      <c r="G137" t="s">
        <v>4271</v>
      </c>
      <c r="H137" t="s">
        <v>3614</v>
      </c>
      <c r="I137" t="s">
        <v>655</v>
      </c>
    </row>
    <row r="138" spans="1:9" x14ac:dyDescent="0.3">
      <c r="A138" t="s">
        <v>4184</v>
      </c>
      <c r="B138" t="s">
        <v>837</v>
      </c>
      <c r="C138" t="s">
        <v>1186</v>
      </c>
      <c r="D138" t="s">
        <v>188</v>
      </c>
      <c r="E138" t="s">
        <v>234</v>
      </c>
      <c r="F138" t="s">
        <v>4262</v>
      </c>
      <c r="G138" t="s">
        <v>4268</v>
      </c>
      <c r="H138" t="s">
        <v>1811</v>
      </c>
      <c r="I138" t="s">
        <v>3968</v>
      </c>
    </row>
    <row r="139" spans="1:9" x14ac:dyDescent="0.3">
      <c r="A139" t="s">
        <v>4185</v>
      </c>
      <c r="B139" t="s">
        <v>842</v>
      </c>
      <c r="C139" t="s">
        <v>1191</v>
      </c>
      <c r="D139" t="s">
        <v>188</v>
      </c>
      <c r="E139" t="s">
        <v>239</v>
      </c>
      <c r="F139" t="s">
        <v>4263</v>
      </c>
      <c r="G139" t="s">
        <v>4004</v>
      </c>
      <c r="H139" t="s">
        <v>423</v>
      </c>
      <c r="I139" t="s">
        <v>4378</v>
      </c>
    </row>
    <row r="140" spans="1:9" x14ac:dyDescent="0.3">
      <c r="A140" t="s">
        <v>4186</v>
      </c>
      <c r="B140" t="s">
        <v>843</v>
      </c>
      <c r="C140" t="s">
        <v>1192</v>
      </c>
      <c r="D140" t="s">
        <v>188</v>
      </c>
      <c r="E140" t="s">
        <v>239</v>
      </c>
      <c r="F140" t="s">
        <v>4262</v>
      </c>
      <c r="G140" t="s">
        <v>4271</v>
      </c>
      <c r="H140" t="s">
        <v>3971</v>
      </c>
      <c r="I140" t="s">
        <v>4343</v>
      </c>
    </row>
    <row r="141" spans="1:9" x14ac:dyDescent="0.3">
      <c r="A141" t="s">
        <v>4187</v>
      </c>
      <c r="B141" t="s">
        <v>845</v>
      </c>
      <c r="C141" t="s">
        <v>1194</v>
      </c>
      <c r="D141" t="s">
        <v>188</v>
      </c>
      <c r="E141" t="s">
        <v>229</v>
      </c>
      <c r="F141" t="s">
        <v>4265</v>
      </c>
      <c r="G141" t="s">
        <v>4268</v>
      </c>
      <c r="H141" t="s">
        <v>4317</v>
      </c>
      <c r="I141" t="s">
        <v>1988</v>
      </c>
    </row>
    <row r="142" spans="1:9" x14ac:dyDescent="0.3">
      <c r="A142" t="s">
        <v>4188</v>
      </c>
      <c r="B142" t="s">
        <v>847</v>
      </c>
      <c r="C142" t="s">
        <v>1196</v>
      </c>
      <c r="D142" t="s">
        <v>188</v>
      </c>
      <c r="E142" t="s">
        <v>213</v>
      </c>
      <c r="F142" t="s">
        <v>4266</v>
      </c>
      <c r="G142" t="s">
        <v>4003</v>
      </c>
      <c r="H142" t="s">
        <v>672</v>
      </c>
      <c r="I142" t="s">
        <v>4379</v>
      </c>
    </row>
    <row r="143" spans="1:9" x14ac:dyDescent="0.3">
      <c r="A143" t="s">
        <v>4189</v>
      </c>
      <c r="B143" t="s">
        <v>848</v>
      </c>
      <c r="C143" t="s">
        <v>1197</v>
      </c>
      <c r="D143" t="s">
        <v>188</v>
      </c>
      <c r="E143" t="s">
        <v>228</v>
      </c>
      <c r="F143" t="s">
        <v>4263</v>
      </c>
      <c r="G143" t="s">
        <v>4003</v>
      </c>
      <c r="H143" t="s">
        <v>620</v>
      </c>
      <c r="I143" t="s">
        <v>3951</v>
      </c>
    </row>
    <row r="144" spans="1:9" x14ac:dyDescent="0.3">
      <c r="A144" t="s">
        <v>4190</v>
      </c>
      <c r="B144" t="s">
        <v>849</v>
      </c>
      <c r="C144" t="s">
        <v>1198</v>
      </c>
      <c r="D144" t="s">
        <v>188</v>
      </c>
      <c r="E144" t="s">
        <v>233</v>
      </c>
      <c r="F144" t="s">
        <v>4265</v>
      </c>
      <c r="G144" t="s">
        <v>4270</v>
      </c>
      <c r="H144" t="s">
        <v>549</v>
      </c>
      <c r="I144" t="s">
        <v>2338</v>
      </c>
    </row>
    <row r="145" spans="1:9" x14ac:dyDescent="0.3">
      <c r="A145" t="s">
        <v>4191</v>
      </c>
      <c r="B145" t="s">
        <v>851</v>
      </c>
      <c r="C145" t="s">
        <v>1200</v>
      </c>
      <c r="D145" t="s">
        <v>188</v>
      </c>
      <c r="E145" t="s">
        <v>209</v>
      </c>
      <c r="F145" t="s">
        <v>4263</v>
      </c>
      <c r="G145" t="s">
        <v>4003</v>
      </c>
      <c r="H145" t="s">
        <v>4318</v>
      </c>
      <c r="I145" t="s">
        <v>376</v>
      </c>
    </row>
    <row r="146" spans="1:9" x14ac:dyDescent="0.3">
      <c r="A146" t="s">
        <v>4192</v>
      </c>
      <c r="B146" t="s">
        <v>852</v>
      </c>
      <c r="C146" t="s">
        <v>1201</v>
      </c>
      <c r="D146" t="s">
        <v>188</v>
      </c>
      <c r="E146" t="s">
        <v>228</v>
      </c>
      <c r="F146" t="s">
        <v>4266</v>
      </c>
      <c r="G146" t="s">
        <v>4269</v>
      </c>
      <c r="H146" t="s">
        <v>2179</v>
      </c>
      <c r="I146" t="s">
        <v>473</v>
      </c>
    </row>
    <row r="147" spans="1:9" x14ac:dyDescent="0.3">
      <c r="A147" t="s">
        <v>4193</v>
      </c>
      <c r="B147" t="s">
        <v>853</v>
      </c>
      <c r="C147" t="s">
        <v>1202</v>
      </c>
      <c r="D147" t="s">
        <v>188</v>
      </c>
      <c r="E147" t="s">
        <v>214</v>
      </c>
      <c r="F147" t="s">
        <v>4266</v>
      </c>
      <c r="G147" t="s">
        <v>4004</v>
      </c>
      <c r="H147" t="s">
        <v>4319</v>
      </c>
      <c r="I147" t="s">
        <v>1973</v>
      </c>
    </row>
    <row r="148" spans="1:9" x14ac:dyDescent="0.3">
      <c r="A148" t="s">
        <v>4194</v>
      </c>
      <c r="B148" t="s">
        <v>854</v>
      </c>
      <c r="C148" t="s">
        <v>1203</v>
      </c>
      <c r="D148" t="s">
        <v>188</v>
      </c>
      <c r="E148" t="s">
        <v>235</v>
      </c>
      <c r="F148" t="s">
        <v>4263</v>
      </c>
      <c r="G148" t="s">
        <v>4004</v>
      </c>
      <c r="H148" t="s">
        <v>4320</v>
      </c>
      <c r="I148" t="s">
        <v>423</v>
      </c>
    </row>
    <row r="149" spans="1:9" x14ac:dyDescent="0.3">
      <c r="A149" t="s">
        <v>4195</v>
      </c>
      <c r="B149" t="s">
        <v>858</v>
      </c>
      <c r="C149" t="s">
        <v>1207</v>
      </c>
      <c r="D149" t="s">
        <v>188</v>
      </c>
      <c r="E149" t="s">
        <v>215</v>
      </c>
      <c r="F149" t="s">
        <v>4264</v>
      </c>
      <c r="G149" t="s">
        <v>4004</v>
      </c>
      <c r="H149" t="s">
        <v>2220</v>
      </c>
      <c r="I149" t="s">
        <v>614</v>
      </c>
    </row>
    <row r="150" spans="1:9" x14ac:dyDescent="0.3">
      <c r="A150" t="s">
        <v>4196</v>
      </c>
      <c r="B150" t="s">
        <v>859</v>
      </c>
      <c r="C150" t="s">
        <v>1208</v>
      </c>
      <c r="D150" t="s">
        <v>188</v>
      </c>
      <c r="E150" t="s">
        <v>227</v>
      </c>
      <c r="F150" t="s">
        <v>4265</v>
      </c>
      <c r="G150" t="s">
        <v>4268</v>
      </c>
      <c r="H150" t="s">
        <v>3309</v>
      </c>
      <c r="I150" t="s">
        <v>4380</v>
      </c>
    </row>
    <row r="151" spans="1:9" x14ac:dyDescent="0.3">
      <c r="A151" t="s">
        <v>4197</v>
      </c>
      <c r="B151" t="s">
        <v>862</v>
      </c>
      <c r="C151" t="s">
        <v>1211</v>
      </c>
      <c r="D151" t="s">
        <v>188</v>
      </c>
      <c r="E151" t="s">
        <v>215</v>
      </c>
      <c r="F151" t="s">
        <v>4265</v>
      </c>
      <c r="G151" t="s">
        <v>4268</v>
      </c>
      <c r="H151" t="s">
        <v>1812</v>
      </c>
      <c r="I151" t="s">
        <v>634</v>
      </c>
    </row>
    <row r="152" spans="1:9" x14ac:dyDescent="0.3">
      <c r="A152" t="s">
        <v>4198</v>
      </c>
      <c r="B152" t="s">
        <v>864</v>
      </c>
      <c r="C152" t="s">
        <v>1213</v>
      </c>
      <c r="D152" t="s">
        <v>188</v>
      </c>
      <c r="E152" t="s">
        <v>240</v>
      </c>
      <c r="F152" t="s">
        <v>4262</v>
      </c>
      <c r="G152" t="s">
        <v>4004</v>
      </c>
      <c r="H152" t="s">
        <v>3964</v>
      </c>
      <c r="I152" t="s">
        <v>4381</v>
      </c>
    </row>
    <row r="153" spans="1:9" x14ac:dyDescent="0.3">
      <c r="A153" t="s">
        <v>4199</v>
      </c>
      <c r="B153" t="s">
        <v>865</v>
      </c>
      <c r="C153" t="s">
        <v>1214</v>
      </c>
      <c r="D153" t="s">
        <v>188</v>
      </c>
      <c r="E153" t="s">
        <v>222</v>
      </c>
      <c r="F153" t="s">
        <v>4264</v>
      </c>
      <c r="G153" t="s">
        <v>4271</v>
      </c>
      <c r="H153" t="s">
        <v>4321</v>
      </c>
      <c r="I153" t="s">
        <v>4382</v>
      </c>
    </row>
    <row r="154" spans="1:9" x14ac:dyDescent="0.3">
      <c r="A154" t="s">
        <v>4200</v>
      </c>
      <c r="B154" t="s">
        <v>866</v>
      </c>
      <c r="C154" t="s">
        <v>1215</v>
      </c>
      <c r="D154" t="s">
        <v>188</v>
      </c>
      <c r="E154" t="s">
        <v>226</v>
      </c>
      <c r="F154" t="s">
        <v>4264</v>
      </c>
      <c r="G154" t="s">
        <v>4003</v>
      </c>
      <c r="H154" t="s">
        <v>515</v>
      </c>
      <c r="I154" t="s">
        <v>520</v>
      </c>
    </row>
    <row r="155" spans="1:9" x14ac:dyDescent="0.3">
      <c r="A155" t="s">
        <v>4201</v>
      </c>
      <c r="B155" t="s">
        <v>870</v>
      </c>
      <c r="C155" t="s">
        <v>186</v>
      </c>
      <c r="D155" t="s">
        <v>188</v>
      </c>
      <c r="E155" t="s">
        <v>216</v>
      </c>
      <c r="F155" t="s">
        <v>4263</v>
      </c>
      <c r="G155" t="s">
        <v>4271</v>
      </c>
      <c r="H155" t="s">
        <v>3731</v>
      </c>
      <c r="I155" t="s">
        <v>635</v>
      </c>
    </row>
    <row r="156" spans="1:9" x14ac:dyDescent="0.3">
      <c r="A156" t="s">
        <v>4202</v>
      </c>
      <c r="B156" t="s">
        <v>873</v>
      </c>
      <c r="C156" t="s">
        <v>1220</v>
      </c>
      <c r="D156" t="s">
        <v>188</v>
      </c>
      <c r="E156" t="s">
        <v>223</v>
      </c>
      <c r="F156" t="s">
        <v>4267</v>
      </c>
      <c r="G156" t="s">
        <v>4004</v>
      </c>
      <c r="H156" t="s">
        <v>661</v>
      </c>
      <c r="I156" t="s">
        <v>4031</v>
      </c>
    </row>
    <row r="157" spans="1:9" x14ac:dyDescent="0.3">
      <c r="A157" t="s">
        <v>4203</v>
      </c>
      <c r="B157" t="s">
        <v>874</v>
      </c>
      <c r="C157" t="s">
        <v>1221</v>
      </c>
      <c r="D157" t="s">
        <v>188</v>
      </c>
      <c r="E157" t="s">
        <v>223</v>
      </c>
      <c r="F157" t="s">
        <v>4262</v>
      </c>
      <c r="G157" t="s">
        <v>4268</v>
      </c>
      <c r="H157" t="s">
        <v>3288</v>
      </c>
      <c r="I157" t="s">
        <v>4342</v>
      </c>
    </row>
    <row r="158" spans="1:9" x14ac:dyDescent="0.3">
      <c r="A158" t="s">
        <v>4204</v>
      </c>
      <c r="B158" t="s">
        <v>875</v>
      </c>
      <c r="C158" t="s">
        <v>1222</v>
      </c>
      <c r="D158" t="s">
        <v>188</v>
      </c>
      <c r="E158" t="s">
        <v>223</v>
      </c>
      <c r="F158" t="s">
        <v>4264</v>
      </c>
      <c r="G158" t="s">
        <v>4271</v>
      </c>
      <c r="H158" t="s">
        <v>4322</v>
      </c>
      <c r="I158" t="s">
        <v>654</v>
      </c>
    </row>
    <row r="159" spans="1:9" x14ac:dyDescent="0.3">
      <c r="A159" t="s">
        <v>4205</v>
      </c>
      <c r="B159" t="s">
        <v>877</v>
      </c>
      <c r="C159" t="s">
        <v>1224</v>
      </c>
      <c r="D159" t="s">
        <v>188</v>
      </c>
      <c r="E159" t="s">
        <v>198</v>
      </c>
      <c r="F159" t="s">
        <v>4262</v>
      </c>
      <c r="G159" t="s">
        <v>4268</v>
      </c>
      <c r="H159" t="s">
        <v>1939</v>
      </c>
      <c r="I159" t="s">
        <v>4383</v>
      </c>
    </row>
    <row r="160" spans="1:9" x14ac:dyDescent="0.3">
      <c r="A160" t="s">
        <v>4206</v>
      </c>
      <c r="B160" t="s">
        <v>879</v>
      </c>
      <c r="C160" t="s">
        <v>1226</v>
      </c>
      <c r="D160" t="s">
        <v>188</v>
      </c>
      <c r="E160" t="s">
        <v>226</v>
      </c>
      <c r="F160" t="s">
        <v>4264</v>
      </c>
      <c r="G160" t="s">
        <v>4003</v>
      </c>
      <c r="H160" t="s">
        <v>403</v>
      </c>
      <c r="I160" t="s">
        <v>4384</v>
      </c>
    </row>
    <row r="161" spans="1:9" x14ac:dyDescent="0.3">
      <c r="A161" t="s">
        <v>4207</v>
      </c>
      <c r="B161" t="s">
        <v>880</v>
      </c>
      <c r="C161" t="s">
        <v>1227</v>
      </c>
      <c r="D161" t="s">
        <v>188</v>
      </c>
      <c r="E161" t="s">
        <v>196</v>
      </c>
      <c r="F161" t="s">
        <v>4263</v>
      </c>
      <c r="G161" t="s">
        <v>4003</v>
      </c>
      <c r="H161" t="s">
        <v>271</v>
      </c>
      <c r="I161" t="s">
        <v>3950</v>
      </c>
    </row>
    <row r="162" spans="1:9" x14ac:dyDescent="0.3">
      <c r="A162" t="s">
        <v>4208</v>
      </c>
      <c r="B162" t="s">
        <v>881</v>
      </c>
      <c r="C162" t="s">
        <v>1228</v>
      </c>
      <c r="D162" t="s">
        <v>188</v>
      </c>
      <c r="E162" t="s">
        <v>246</v>
      </c>
      <c r="F162" t="s">
        <v>4264</v>
      </c>
      <c r="G162" t="s">
        <v>4003</v>
      </c>
      <c r="H162" t="s">
        <v>277</v>
      </c>
      <c r="I162" t="s">
        <v>648</v>
      </c>
    </row>
    <row r="163" spans="1:9" x14ac:dyDescent="0.3">
      <c r="A163" t="s">
        <v>4209</v>
      </c>
      <c r="B163" t="s">
        <v>882</v>
      </c>
      <c r="C163" t="s">
        <v>1229</v>
      </c>
      <c r="D163" t="s">
        <v>188</v>
      </c>
      <c r="E163" t="s">
        <v>204</v>
      </c>
      <c r="F163" t="s">
        <v>4263</v>
      </c>
      <c r="G163" t="s">
        <v>4269</v>
      </c>
      <c r="H163" t="s">
        <v>4323</v>
      </c>
      <c r="I163" t="s">
        <v>461</v>
      </c>
    </row>
    <row r="164" spans="1:9" x14ac:dyDescent="0.3">
      <c r="A164" t="s">
        <v>4210</v>
      </c>
      <c r="B164" t="s">
        <v>883</v>
      </c>
      <c r="C164" t="s">
        <v>1230</v>
      </c>
      <c r="D164" t="s">
        <v>188</v>
      </c>
      <c r="E164" t="s">
        <v>199</v>
      </c>
      <c r="F164" t="s">
        <v>4262</v>
      </c>
      <c r="G164" t="s">
        <v>4271</v>
      </c>
      <c r="H164" t="s">
        <v>675</v>
      </c>
      <c r="I164" t="s">
        <v>4034</v>
      </c>
    </row>
    <row r="165" spans="1:9" x14ac:dyDescent="0.3">
      <c r="A165" t="s">
        <v>4211</v>
      </c>
      <c r="B165" t="s">
        <v>884</v>
      </c>
      <c r="C165" t="s">
        <v>1231</v>
      </c>
      <c r="D165" t="s">
        <v>188</v>
      </c>
      <c r="E165" t="s">
        <v>245</v>
      </c>
      <c r="F165" t="s">
        <v>4267</v>
      </c>
      <c r="G165" t="s">
        <v>4268</v>
      </c>
      <c r="H165" t="s">
        <v>3731</v>
      </c>
      <c r="I165" t="s">
        <v>474</v>
      </c>
    </row>
    <row r="166" spans="1:9" x14ac:dyDescent="0.3">
      <c r="A166" t="s">
        <v>4212</v>
      </c>
      <c r="B166" t="s">
        <v>888</v>
      </c>
      <c r="C166" t="s">
        <v>1235</v>
      </c>
      <c r="D166" t="s">
        <v>188</v>
      </c>
      <c r="E166" t="s">
        <v>237</v>
      </c>
      <c r="F166" t="s">
        <v>4264</v>
      </c>
      <c r="G166" t="s">
        <v>4004</v>
      </c>
      <c r="H166" t="s">
        <v>633</v>
      </c>
      <c r="I166" t="s">
        <v>3565</v>
      </c>
    </row>
    <row r="167" spans="1:9" x14ac:dyDescent="0.3">
      <c r="A167" t="s">
        <v>4213</v>
      </c>
      <c r="B167" t="s">
        <v>889</v>
      </c>
      <c r="C167" t="s">
        <v>1236</v>
      </c>
      <c r="D167" t="s">
        <v>188</v>
      </c>
      <c r="E167" t="s">
        <v>232</v>
      </c>
      <c r="F167" t="s">
        <v>4263</v>
      </c>
      <c r="G167" t="s">
        <v>4004</v>
      </c>
      <c r="H167" t="s">
        <v>4324</v>
      </c>
      <c r="I167" t="s">
        <v>455</v>
      </c>
    </row>
    <row r="168" spans="1:9" x14ac:dyDescent="0.3">
      <c r="A168" t="s">
        <v>4214</v>
      </c>
      <c r="B168" t="s">
        <v>892</v>
      </c>
      <c r="C168" t="s">
        <v>1239</v>
      </c>
      <c r="D168" t="s">
        <v>188</v>
      </c>
      <c r="E168" t="s">
        <v>198</v>
      </c>
      <c r="F168" t="s">
        <v>4263</v>
      </c>
      <c r="G168" t="s">
        <v>4270</v>
      </c>
      <c r="H168" t="s">
        <v>621</v>
      </c>
      <c r="I168" t="s">
        <v>3969</v>
      </c>
    </row>
    <row r="169" spans="1:9" x14ac:dyDescent="0.3">
      <c r="A169" t="s">
        <v>4215</v>
      </c>
      <c r="B169" t="s">
        <v>893</v>
      </c>
      <c r="C169" t="s">
        <v>1240</v>
      </c>
      <c r="D169" t="s">
        <v>188</v>
      </c>
      <c r="E169" t="s">
        <v>191</v>
      </c>
      <c r="F169" t="s">
        <v>4264</v>
      </c>
      <c r="G169" t="s">
        <v>4269</v>
      </c>
      <c r="H169" t="s">
        <v>4325</v>
      </c>
      <c r="I169" t="s">
        <v>2246</v>
      </c>
    </row>
    <row r="170" spans="1:9" x14ac:dyDescent="0.3">
      <c r="A170" t="s">
        <v>4216</v>
      </c>
      <c r="B170" t="s">
        <v>896</v>
      </c>
      <c r="C170" t="s">
        <v>1243</v>
      </c>
      <c r="D170" t="s">
        <v>188</v>
      </c>
      <c r="E170" t="s">
        <v>247</v>
      </c>
      <c r="F170" t="s">
        <v>4264</v>
      </c>
      <c r="G170" t="s">
        <v>4271</v>
      </c>
      <c r="H170" t="s">
        <v>4036</v>
      </c>
      <c r="I170" t="s">
        <v>4035</v>
      </c>
    </row>
    <row r="171" spans="1:9" x14ac:dyDescent="0.3">
      <c r="A171" t="s">
        <v>4217</v>
      </c>
      <c r="B171" t="s">
        <v>897</v>
      </c>
      <c r="C171" t="s">
        <v>1244</v>
      </c>
      <c r="D171" t="s">
        <v>188</v>
      </c>
      <c r="E171" t="s">
        <v>214</v>
      </c>
      <c r="F171" t="s">
        <v>4264</v>
      </c>
      <c r="G171" t="s">
        <v>4003</v>
      </c>
      <c r="H171" t="s">
        <v>428</v>
      </c>
      <c r="I171" t="s">
        <v>4033</v>
      </c>
    </row>
    <row r="172" spans="1:9" x14ac:dyDescent="0.3">
      <c r="A172" t="s">
        <v>4218</v>
      </c>
      <c r="B172" t="s">
        <v>900</v>
      </c>
      <c r="C172" t="s">
        <v>1247</v>
      </c>
      <c r="D172" t="s">
        <v>188</v>
      </c>
      <c r="E172" t="s">
        <v>201</v>
      </c>
      <c r="F172" t="s">
        <v>4267</v>
      </c>
      <c r="G172" t="s">
        <v>4268</v>
      </c>
      <c r="H172" t="s">
        <v>1945</v>
      </c>
      <c r="I172" t="s">
        <v>538</v>
      </c>
    </row>
    <row r="173" spans="1:9" x14ac:dyDescent="0.3">
      <c r="A173" t="s">
        <v>4219</v>
      </c>
      <c r="B173" t="s">
        <v>901</v>
      </c>
      <c r="C173" t="s">
        <v>1248</v>
      </c>
      <c r="D173" t="s">
        <v>188</v>
      </c>
      <c r="E173" t="s">
        <v>238</v>
      </c>
      <c r="F173" t="s">
        <v>4264</v>
      </c>
      <c r="G173" t="s">
        <v>4004</v>
      </c>
      <c r="H173" t="s">
        <v>2106</v>
      </c>
      <c r="I173" t="s">
        <v>2222</v>
      </c>
    </row>
    <row r="174" spans="1:9" x14ac:dyDescent="0.3">
      <c r="A174" t="s">
        <v>4220</v>
      </c>
      <c r="B174" t="s">
        <v>902</v>
      </c>
      <c r="C174" t="s">
        <v>1249</v>
      </c>
      <c r="D174" t="s">
        <v>188</v>
      </c>
      <c r="E174" t="s">
        <v>201</v>
      </c>
      <c r="F174" t="s">
        <v>4264</v>
      </c>
      <c r="G174" t="s">
        <v>4003</v>
      </c>
      <c r="H174" t="s">
        <v>2172</v>
      </c>
      <c r="I174" t="s">
        <v>450</v>
      </c>
    </row>
    <row r="175" spans="1:9" x14ac:dyDescent="0.3">
      <c r="A175" t="s">
        <v>4221</v>
      </c>
      <c r="B175" t="s">
        <v>903</v>
      </c>
      <c r="C175" t="s">
        <v>1250</v>
      </c>
      <c r="D175" t="s">
        <v>188</v>
      </c>
      <c r="E175" t="s">
        <v>219</v>
      </c>
      <c r="F175" t="s">
        <v>4265</v>
      </c>
      <c r="G175" t="s">
        <v>4270</v>
      </c>
      <c r="H175" t="s">
        <v>4326</v>
      </c>
      <c r="I175" t="s">
        <v>2325</v>
      </c>
    </row>
    <row r="176" spans="1:9" x14ac:dyDescent="0.3">
      <c r="A176" t="s">
        <v>4222</v>
      </c>
      <c r="B176" t="s">
        <v>904</v>
      </c>
      <c r="C176" t="s">
        <v>1251</v>
      </c>
      <c r="D176" t="s">
        <v>188</v>
      </c>
      <c r="E176" t="s">
        <v>222</v>
      </c>
      <c r="F176" t="s">
        <v>4267</v>
      </c>
      <c r="G176" t="s">
        <v>4271</v>
      </c>
      <c r="H176" t="s">
        <v>667</v>
      </c>
      <c r="I176" t="s">
        <v>4385</v>
      </c>
    </row>
    <row r="177" spans="1:9" x14ac:dyDescent="0.3">
      <c r="A177" t="s">
        <v>4223</v>
      </c>
      <c r="B177" t="s">
        <v>906</v>
      </c>
      <c r="C177" t="s">
        <v>1253</v>
      </c>
      <c r="D177" t="s">
        <v>188</v>
      </c>
      <c r="E177" t="s">
        <v>199</v>
      </c>
      <c r="F177" t="s">
        <v>4267</v>
      </c>
      <c r="G177" t="s">
        <v>4268</v>
      </c>
      <c r="H177" t="s">
        <v>1763</v>
      </c>
      <c r="I177" t="s">
        <v>3549</v>
      </c>
    </row>
    <row r="178" spans="1:9" x14ac:dyDescent="0.3">
      <c r="A178" t="s">
        <v>4224</v>
      </c>
      <c r="B178" t="s">
        <v>909</v>
      </c>
      <c r="C178" t="s">
        <v>1256</v>
      </c>
      <c r="D178" t="s">
        <v>188</v>
      </c>
      <c r="E178" t="s">
        <v>223</v>
      </c>
      <c r="F178" t="s">
        <v>4266</v>
      </c>
      <c r="G178" t="s">
        <v>4271</v>
      </c>
      <c r="H178" t="s">
        <v>1813</v>
      </c>
      <c r="I178" t="s">
        <v>622</v>
      </c>
    </row>
    <row r="179" spans="1:9" x14ac:dyDescent="0.3">
      <c r="A179" t="s">
        <v>4225</v>
      </c>
      <c r="B179" t="s">
        <v>914</v>
      </c>
      <c r="C179" t="s">
        <v>1261</v>
      </c>
      <c r="D179" t="s">
        <v>188</v>
      </c>
      <c r="E179" t="s">
        <v>232</v>
      </c>
      <c r="F179" t="s">
        <v>4265</v>
      </c>
      <c r="G179" t="s">
        <v>4268</v>
      </c>
      <c r="H179" t="s">
        <v>553</v>
      </c>
      <c r="I179" t="s">
        <v>3593</v>
      </c>
    </row>
    <row r="180" spans="1:9" x14ac:dyDescent="0.3">
      <c r="A180" t="s">
        <v>4226</v>
      </c>
      <c r="B180" t="s">
        <v>918</v>
      </c>
      <c r="C180" t="s">
        <v>1265</v>
      </c>
      <c r="D180" t="s">
        <v>188</v>
      </c>
      <c r="E180" t="s">
        <v>249</v>
      </c>
      <c r="F180" t="s">
        <v>4265</v>
      </c>
      <c r="G180" t="s">
        <v>4268</v>
      </c>
      <c r="H180" t="s">
        <v>4327</v>
      </c>
      <c r="I180" t="s">
        <v>1744</v>
      </c>
    </row>
    <row r="181" spans="1:9" x14ac:dyDescent="0.3">
      <c r="A181" t="s">
        <v>4227</v>
      </c>
      <c r="B181" t="s">
        <v>920</v>
      </c>
      <c r="C181" t="s">
        <v>1267</v>
      </c>
      <c r="D181" t="s">
        <v>188</v>
      </c>
      <c r="E181" t="s">
        <v>235</v>
      </c>
      <c r="F181" t="s">
        <v>4267</v>
      </c>
      <c r="G181" t="s">
        <v>4269</v>
      </c>
      <c r="H181" t="s">
        <v>4328</v>
      </c>
      <c r="I181" t="s">
        <v>2301</v>
      </c>
    </row>
    <row r="182" spans="1:9" x14ac:dyDescent="0.3">
      <c r="A182" t="s">
        <v>4228</v>
      </c>
      <c r="B182" t="s">
        <v>922</v>
      </c>
      <c r="C182" t="s">
        <v>1269</v>
      </c>
      <c r="D182" t="s">
        <v>188</v>
      </c>
      <c r="E182" t="s">
        <v>217</v>
      </c>
      <c r="F182" t="s">
        <v>4267</v>
      </c>
      <c r="G182" t="s">
        <v>4003</v>
      </c>
      <c r="H182" t="s">
        <v>670</v>
      </c>
      <c r="I182" t="s">
        <v>663</v>
      </c>
    </row>
    <row r="183" spans="1:9" x14ac:dyDescent="0.3">
      <c r="A183" t="s">
        <v>4229</v>
      </c>
      <c r="B183" t="s">
        <v>923</v>
      </c>
      <c r="C183" t="s">
        <v>1270</v>
      </c>
      <c r="D183" t="s">
        <v>188</v>
      </c>
      <c r="E183" t="s">
        <v>194</v>
      </c>
      <c r="F183" t="s">
        <v>4265</v>
      </c>
      <c r="G183" t="s">
        <v>4269</v>
      </c>
      <c r="H183" t="s">
        <v>358</v>
      </c>
      <c r="I183" t="s">
        <v>3316</v>
      </c>
    </row>
    <row r="184" spans="1:9" x14ac:dyDescent="0.3">
      <c r="A184" t="s">
        <v>4230</v>
      </c>
      <c r="B184" t="s">
        <v>924</v>
      </c>
      <c r="C184" t="s">
        <v>1271</v>
      </c>
      <c r="D184" t="s">
        <v>188</v>
      </c>
      <c r="E184" t="s">
        <v>247</v>
      </c>
      <c r="F184" t="s">
        <v>4267</v>
      </c>
      <c r="G184" t="s">
        <v>4003</v>
      </c>
      <c r="H184" t="s">
        <v>533</v>
      </c>
      <c r="I184" t="s">
        <v>1938</v>
      </c>
    </row>
    <row r="185" spans="1:9" x14ac:dyDescent="0.3">
      <c r="A185" t="s">
        <v>4231</v>
      </c>
      <c r="B185" t="s">
        <v>925</v>
      </c>
      <c r="C185" t="s">
        <v>1272</v>
      </c>
      <c r="D185" t="s">
        <v>188</v>
      </c>
      <c r="E185" t="s">
        <v>248</v>
      </c>
      <c r="F185" t="s">
        <v>4262</v>
      </c>
      <c r="G185" t="s">
        <v>4270</v>
      </c>
      <c r="H185" t="s">
        <v>4329</v>
      </c>
      <c r="I185" t="s">
        <v>3982</v>
      </c>
    </row>
    <row r="186" spans="1:9" x14ac:dyDescent="0.3">
      <c r="A186" t="s">
        <v>4232</v>
      </c>
      <c r="B186" t="s">
        <v>930</v>
      </c>
      <c r="C186" t="s">
        <v>1277</v>
      </c>
      <c r="D186" t="s">
        <v>188</v>
      </c>
      <c r="E186" t="s">
        <v>196</v>
      </c>
      <c r="F186" t="s">
        <v>4264</v>
      </c>
      <c r="G186" t="s">
        <v>4003</v>
      </c>
      <c r="H186" t="s">
        <v>3417</v>
      </c>
      <c r="I186" t="s">
        <v>4386</v>
      </c>
    </row>
    <row r="187" spans="1:9" x14ac:dyDescent="0.3">
      <c r="A187" t="s">
        <v>4233</v>
      </c>
      <c r="B187" t="s">
        <v>931</v>
      </c>
      <c r="C187" t="s">
        <v>1278</v>
      </c>
      <c r="D187" t="s">
        <v>188</v>
      </c>
      <c r="E187" t="s">
        <v>214</v>
      </c>
      <c r="F187" t="s">
        <v>4265</v>
      </c>
      <c r="G187" t="s">
        <v>4003</v>
      </c>
      <c r="H187" t="s">
        <v>4032</v>
      </c>
      <c r="I187" t="s">
        <v>3655</v>
      </c>
    </row>
    <row r="188" spans="1:9" x14ac:dyDescent="0.3">
      <c r="A188" t="s">
        <v>4234</v>
      </c>
      <c r="B188" t="s">
        <v>933</v>
      </c>
      <c r="C188" t="s">
        <v>1280</v>
      </c>
      <c r="D188" t="s">
        <v>188</v>
      </c>
      <c r="E188" t="s">
        <v>203</v>
      </c>
      <c r="F188" t="s">
        <v>4264</v>
      </c>
      <c r="G188" t="s">
        <v>4003</v>
      </c>
      <c r="H188" t="s">
        <v>4027</v>
      </c>
      <c r="I188" t="s">
        <v>399</v>
      </c>
    </row>
    <row r="189" spans="1:9" x14ac:dyDescent="0.3">
      <c r="A189" t="s">
        <v>4235</v>
      </c>
      <c r="B189" t="s">
        <v>934</v>
      </c>
      <c r="C189" t="s">
        <v>1281</v>
      </c>
      <c r="D189" t="s">
        <v>188</v>
      </c>
      <c r="E189" t="s">
        <v>233</v>
      </c>
      <c r="F189" t="s">
        <v>4263</v>
      </c>
      <c r="G189" t="s">
        <v>4004</v>
      </c>
      <c r="H189" t="s">
        <v>487</v>
      </c>
      <c r="I189" t="s">
        <v>4008</v>
      </c>
    </row>
    <row r="190" spans="1:9" x14ac:dyDescent="0.3">
      <c r="A190" t="s">
        <v>4236</v>
      </c>
      <c r="B190" t="s">
        <v>936</v>
      </c>
      <c r="C190" t="s">
        <v>1283</v>
      </c>
      <c r="D190" t="s">
        <v>188</v>
      </c>
      <c r="E190" t="s">
        <v>191</v>
      </c>
      <c r="F190" t="s">
        <v>4266</v>
      </c>
      <c r="G190" t="s">
        <v>4270</v>
      </c>
      <c r="H190" t="s">
        <v>4330</v>
      </c>
      <c r="I190" t="s">
        <v>3642</v>
      </c>
    </row>
    <row r="191" spans="1:9" x14ac:dyDescent="0.3">
      <c r="A191" t="s">
        <v>4237</v>
      </c>
      <c r="B191" t="s">
        <v>939</v>
      </c>
      <c r="C191" t="s">
        <v>1286</v>
      </c>
      <c r="D191" t="s">
        <v>188</v>
      </c>
      <c r="E191" t="s">
        <v>249</v>
      </c>
      <c r="F191" t="s">
        <v>4263</v>
      </c>
      <c r="G191" t="s">
        <v>4004</v>
      </c>
      <c r="H191" t="s">
        <v>2219</v>
      </c>
      <c r="I191" t="s">
        <v>4387</v>
      </c>
    </row>
    <row r="192" spans="1:9" x14ac:dyDescent="0.3">
      <c r="A192" t="s">
        <v>4238</v>
      </c>
      <c r="B192" t="s">
        <v>940</v>
      </c>
      <c r="C192" t="s">
        <v>1287</v>
      </c>
      <c r="D192" t="s">
        <v>188</v>
      </c>
      <c r="E192" t="s">
        <v>191</v>
      </c>
      <c r="F192" t="s">
        <v>4263</v>
      </c>
      <c r="G192" t="s">
        <v>4268</v>
      </c>
      <c r="H192" t="s">
        <v>2027</v>
      </c>
      <c r="I192" t="s">
        <v>2311</v>
      </c>
    </row>
    <row r="193" spans="1:9" x14ac:dyDescent="0.3">
      <c r="A193" t="s">
        <v>4239</v>
      </c>
      <c r="B193" t="s">
        <v>941</v>
      </c>
      <c r="C193" t="s">
        <v>1288</v>
      </c>
      <c r="D193" t="s">
        <v>188</v>
      </c>
      <c r="E193" t="s">
        <v>218</v>
      </c>
      <c r="F193" t="s">
        <v>4262</v>
      </c>
      <c r="G193" t="s">
        <v>4271</v>
      </c>
      <c r="H193" t="s">
        <v>4331</v>
      </c>
      <c r="I193" t="s">
        <v>2118</v>
      </c>
    </row>
    <row r="194" spans="1:9" x14ac:dyDescent="0.3">
      <c r="A194" t="s">
        <v>4240</v>
      </c>
      <c r="B194" t="s">
        <v>944</v>
      </c>
      <c r="C194" t="s">
        <v>1291</v>
      </c>
      <c r="D194" t="s">
        <v>188</v>
      </c>
      <c r="E194" t="s">
        <v>201</v>
      </c>
      <c r="F194" t="s">
        <v>4267</v>
      </c>
      <c r="G194" t="s">
        <v>4004</v>
      </c>
      <c r="H194" t="s">
        <v>1963</v>
      </c>
      <c r="I194" t="s">
        <v>3957</v>
      </c>
    </row>
    <row r="195" spans="1:9" x14ac:dyDescent="0.3">
      <c r="A195" t="s">
        <v>4241</v>
      </c>
      <c r="B195" t="s">
        <v>947</v>
      </c>
      <c r="C195" t="s">
        <v>1294</v>
      </c>
      <c r="D195" t="s">
        <v>188</v>
      </c>
      <c r="E195" t="s">
        <v>219</v>
      </c>
      <c r="F195" t="s">
        <v>4264</v>
      </c>
      <c r="G195" t="s">
        <v>4003</v>
      </c>
      <c r="H195" t="s">
        <v>507</v>
      </c>
      <c r="I195" t="s">
        <v>475</v>
      </c>
    </row>
    <row r="196" spans="1:9" x14ac:dyDescent="0.3">
      <c r="A196" t="s">
        <v>4242</v>
      </c>
      <c r="B196" t="s">
        <v>948</v>
      </c>
      <c r="C196" t="s">
        <v>1295</v>
      </c>
      <c r="D196" t="s">
        <v>188</v>
      </c>
      <c r="E196" t="s">
        <v>191</v>
      </c>
      <c r="F196" t="s">
        <v>4262</v>
      </c>
      <c r="G196" t="s">
        <v>4003</v>
      </c>
      <c r="H196" t="s">
        <v>4332</v>
      </c>
      <c r="I196" t="s">
        <v>437</v>
      </c>
    </row>
    <row r="197" spans="1:9" x14ac:dyDescent="0.3">
      <c r="A197" t="s">
        <v>4243</v>
      </c>
      <c r="B197" t="s">
        <v>949</v>
      </c>
      <c r="C197" t="s">
        <v>1296</v>
      </c>
      <c r="D197" t="s">
        <v>188</v>
      </c>
      <c r="E197" t="s">
        <v>240</v>
      </c>
      <c r="F197" t="s">
        <v>4262</v>
      </c>
      <c r="G197" t="s">
        <v>4268</v>
      </c>
      <c r="H197" t="s">
        <v>1841</v>
      </c>
      <c r="I197" t="s">
        <v>3483</v>
      </c>
    </row>
    <row r="198" spans="1:9" x14ac:dyDescent="0.3">
      <c r="A198" t="s">
        <v>4244</v>
      </c>
      <c r="B198" t="s">
        <v>951</v>
      </c>
      <c r="C198" t="s">
        <v>1298</v>
      </c>
      <c r="D198" t="s">
        <v>188</v>
      </c>
      <c r="E198" t="s">
        <v>239</v>
      </c>
      <c r="F198" t="s">
        <v>4267</v>
      </c>
      <c r="G198" t="s">
        <v>4271</v>
      </c>
      <c r="H198" t="s">
        <v>3984</v>
      </c>
      <c r="I198" t="s">
        <v>4345</v>
      </c>
    </row>
    <row r="199" spans="1:9" x14ac:dyDescent="0.3">
      <c r="A199" t="s">
        <v>4245</v>
      </c>
      <c r="B199" t="s">
        <v>985</v>
      </c>
      <c r="C199" t="s">
        <v>1130</v>
      </c>
      <c r="D199" t="s">
        <v>188</v>
      </c>
      <c r="E199" t="s">
        <v>208</v>
      </c>
      <c r="F199" t="s">
        <v>4267</v>
      </c>
      <c r="G199" t="s">
        <v>4270</v>
      </c>
      <c r="H199" t="s">
        <v>3495</v>
      </c>
      <c r="I199" t="s">
        <v>4044</v>
      </c>
    </row>
    <row r="200" spans="1:9" x14ac:dyDescent="0.3">
      <c r="A200" t="s">
        <v>4246</v>
      </c>
      <c r="B200" t="s">
        <v>986</v>
      </c>
      <c r="C200" t="s">
        <v>1332</v>
      </c>
      <c r="D200" t="s">
        <v>188</v>
      </c>
      <c r="E200" t="s">
        <v>213</v>
      </c>
      <c r="F200" t="s">
        <v>4264</v>
      </c>
      <c r="G200" t="s">
        <v>4003</v>
      </c>
      <c r="H200" t="s">
        <v>470</v>
      </c>
      <c r="I200" t="s">
        <v>4388</v>
      </c>
    </row>
    <row r="201" spans="1:9" x14ac:dyDescent="0.3">
      <c r="A201" t="s">
        <v>4247</v>
      </c>
      <c r="B201" t="s">
        <v>989</v>
      </c>
      <c r="C201" t="s">
        <v>1335</v>
      </c>
      <c r="D201" t="s">
        <v>188</v>
      </c>
      <c r="E201" t="s">
        <v>233</v>
      </c>
      <c r="F201" t="s">
        <v>4262</v>
      </c>
      <c r="G201" t="s">
        <v>4268</v>
      </c>
      <c r="H201" t="s">
        <v>4333</v>
      </c>
      <c r="I201" t="s">
        <v>2166</v>
      </c>
    </row>
    <row r="202" spans="1:9" x14ac:dyDescent="0.3">
      <c r="A202" t="s">
        <v>4248</v>
      </c>
      <c r="B202" t="s">
        <v>991</v>
      </c>
      <c r="C202" t="s">
        <v>1336</v>
      </c>
      <c r="D202" t="s">
        <v>188</v>
      </c>
      <c r="E202" t="s">
        <v>241</v>
      </c>
      <c r="F202" t="s">
        <v>4264</v>
      </c>
      <c r="G202" t="s">
        <v>4003</v>
      </c>
      <c r="H202" t="s">
        <v>2075</v>
      </c>
      <c r="I202" t="s">
        <v>4312</v>
      </c>
    </row>
    <row r="203" spans="1:9" x14ac:dyDescent="0.3">
      <c r="A203" t="s">
        <v>4249</v>
      </c>
      <c r="B203" t="s">
        <v>992</v>
      </c>
      <c r="C203" t="s">
        <v>1337</v>
      </c>
      <c r="D203" t="s">
        <v>188</v>
      </c>
      <c r="E203" t="s">
        <v>195</v>
      </c>
      <c r="F203" t="s">
        <v>4265</v>
      </c>
      <c r="G203" t="s">
        <v>4269</v>
      </c>
      <c r="H203" t="s">
        <v>4334</v>
      </c>
      <c r="I203" t="s">
        <v>3559</v>
      </c>
    </row>
    <row r="204" spans="1:9" x14ac:dyDescent="0.3">
      <c r="A204" t="s">
        <v>4250</v>
      </c>
      <c r="B204" t="s">
        <v>999</v>
      </c>
      <c r="C204" t="s">
        <v>1344</v>
      </c>
      <c r="D204" t="s">
        <v>188</v>
      </c>
      <c r="E204" t="s">
        <v>217</v>
      </c>
      <c r="F204" t="s">
        <v>4264</v>
      </c>
      <c r="G204" t="s">
        <v>4268</v>
      </c>
      <c r="H204" t="s">
        <v>4335</v>
      </c>
      <c r="I204" t="s">
        <v>544</v>
      </c>
    </row>
    <row r="205" spans="1:9" x14ac:dyDescent="0.3">
      <c r="A205" t="s">
        <v>4251</v>
      </c>
      <c r="B205" t="s">
        <v>1003</v>
      </c>
      <c r="C205" t="s">
        <v>1348</v>
      </c>
      <c r="D205" t="s">
        <v>188</v>
      </c>
      <c r="E205" t="s">
        <v>242</v>
      </c>
      <c r="F205" t="s">
        <v>4263</v>
      </c>
      <c r="G205" t="s">
        <v>4268</v>
      </c>
      <c r="H205" t="s">
        <v>312</v>
      </c>
      <c r="I205" t="s">
        <v>400</v>
      </c>
    </row>
    <row r="206" spans="1:9" x14ac:dyDescent="0.3">
      <c r="A206" t="s">
        <v>4252</v>
      </c>
      <c r="B206" t="s">
        <v>1006</v>
      </c>
      <c r="C206" t="s">
        <v>1351</v>
      </c>
      <c r="D206" t="s">
        <v>188</v>
      </c>
      <c r="E206" t="s">
        <v>197</v>
      </c>
      <c r="F206" t="s">
        <v>4264</v>
      </c>
      <c r="G206" t="s">
        <v>4270</v>
      </c>
      <c r="H206" t="s">
        <v>427</v>
      </c>
      <c r="I206" t="s">
        <v>596</v>
      </c>
    </row>
    <row r="207" spans="1:9" x14ac:dyDescent="0.3">
      <c r="A207" t="s">
        <v>4253</v>
      </c>
      <c r="B207" t="s">
        <v>1008</v>
      </c>
      <c r="C207" t="s">
        <v>1353</v>
      </c>
      <c r="D207" t="s">
        <v>188</v>
      </c>
      <c r="E207" t="s">
        <v>242</v>
      </c>
      <c r="F207" t="s">
        <v>4263</v>
      </c>
      <c r="G207" t="s">
        <v>4004</v>
      </c>
      <c r="H207" t="s">
        <v>2176</v>
      </c>
      <c r="I207" t="s">
        <v>2194</v>
      </c>
    </row>
    <row r="208" spans="1:9" x14ac:dyDescent="0.3">
      <c r="A208" t="s">
        <v>4254</v>
      </c>
      <c r="B208" t="s">
        <v>1010</v>
      </c>
      <c r="C208" t="s">
        <v>1355</v>
      </c>
      <c r="D208" t="s">
        <v>188</v>
      </c>
      <c r="E208" t="s">
        <v>211</v>
      </c>
      <c r="F208" t="s">
        <v>4267</v>
      </c>
      <c r="G208" t="s">
        <v>4003</v>
      </c>
      <c r="H208" t="s">
        <v>586</v>
      </c>
      <c r="I208" t="s">
        <v>2000</v>
      </c>
    </row>
    <row r="209" spans="1:9" x14ac:dyDescent="0.3">
      <c r="A209" t="s">
        <v>4255</v>
      </c>
      <c r="B209" t="s">
        <v>1012</v>
      </c>
      <c r="C209" t="s">
        <v>1357</v>
      </c>
      <c r="D209" t="s">
        <v>188</v>
      </c>
      <c r="E209" t="s">
        <v>244</v>
      </c>
      <c r="F209" t="s">
        <v>4264</v>
      </c>
      <c r="G209" t="s">
        <v>4003</v>
      </c>
      <c r="H209" t="s">
        <v>2214</v>
      </c>
      <c r="I209" t="s">
        <v>366</v>
      </c>
    </row>
    <row r="210" spans="1:9" x14ac:dyDescent="0.3">
      <c r="A210" t="s">
        <v>4256</v>
      </c>
      <c r="B210" t="s">
        <v>1013</v>
      </c>
      <c r="C210" t="s">
        <v>1358</v>
      </c>
      <c r="D210" t="s">
        <v>188</v>
      </c>
      <c r="E210" t="s">
        <v>227</v>
      </c>
      <c r="F210" t="s">
        <v>4266</v>
      </c>
      <c r="G210" t="s">
        <v>4268</v>
      </c>
      <c r="H210" t="s">
        <v>4022</v>
      </c>
      <c r="I210" t="s">
        <v>3368</v>
      </c>
    </row>
    <row r="211" spans="1:9" x14ac:dyDescent="0.3">
      <c r="A211" t="s">
        <v>4257</v>
      </c>
      <c r="B211" t="s">
        <v>1018</v>
      </c>
      <c r="C211" t="s">
        <v>1363</v>
      </c>
      <c r="D211" t="s">
        <v>188</v>
      </c>
      <c r="E211" t="s">
        <v>209</v>
      </c>
      <c r="F211" t="s">
        <v>4264</v>
      </c>
      <c r="G211" t="s">
        <v>4004</v>
      </c>
      <c r="H211" t="s">
        <v>348</v>
      </c>
      <c r="I211" t="s">
        <v>402</v>
      </c>
    </row>
    <row r="212" spans="1:9" x14ac:dyDescent="0.3">
      <c r="A212" t="s">
        <v>4258</v>
      </c>
      <c r="B212" t="s">
        <v>1019</v>
      </c>
      <c r="C212" t="s">
        <v>1364</v>
      </c>
      <c r="D212" t="s">
        <v>188</v>
      </c>
      <c r="E212" t="s">
        <v>192</v>
      </c>
      <c r="F212" t="s">
        <v>4266</v>
      </c>
      <c r="G212" t="s">
        <v>4270</v>
      </c>
      <c r="H212" t="s">
        <v>525</v>
      </c>
      <c r="I212" t="s">
        <v>545</v>
      </c>
    </row>
    <row r="213" spans="1:9" x14ac:dyDescent="0.3">
      <c r="A213" t="s">
        <v>4259</v>
      </c>
      <c r="B213" t="s">
        <v>1021</v>
      </c>
      <c r="C213" t="s">
        <v>1366</v>
      </c>
      <c r="D213" t="s">
        <v>188</v>
      </c>
      <c r="E213" t="s">
        <v>209</v>
      </c>
      <c r="F213" t="s">
        <v>4264</v>
      </c>
      <c r="G213" t="s">
        <v>4270</v>
      </c>
      <c r="H213" t="s">
        <v>4336</v>
      </c>
      <c r="I213" t="s">
        <v>2263</v>
      </c>
    </row>
    <row r="214" spans="1:9" x14ac:dyDescent="0.3">
      <c r="A214" t="s">
        <v>4260</v>
      </c>
      <c r="B214" t="s">
        <v>1024</v>
      </c>
      <c r="C214" t="s">
        <v>1369</v>
      </c>
      <c r="D214" t="s">
        <v>188</v>
      </c>
      <c r="E214" t="s">
        <v>237</v>
      </c>
      <c r="F214" t="s">
        <v>4263</v>
      </c>
      <c r="G214" t="s">
        <v>4268</v>
      </c>
      <c r="H214" t="s">
        <v>1912</v>
      </c>
      <c r="I214" t="s">
        <v>394</v>
      </c>
    </row>
    <row r="215" spans="1:9" x14ac:dyDescent="0.3">
      <c r="A215" t="s">
        <v>4261</v>
      </c>
      <c r="B215" t="s">
        <v>1025</v>
      </c>
      <c r="C215" t="s">
        <v>1370</v>
      </c>
      <c r="D215" t="s">
        <v>188</v>
      </c>
      <c r="E215" t="s">
        <v>244</v>
      </c>
      <c r="F215" t="s">
        <v>4263</v>
      </c>
      <c r="G215" t="s">
        <v>4268</v>
      </c>
      <c r="H215" t="s">
        <v>4337</v>
      </c>
      <c r="I215" t="s">
        <v>3958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="103" zoomScaleNormal="70" workbookViewId="0">
      <selection activeCell="C25" sqref="C25"/>
    </sheetView>
  </sheetViews>
  <sheetFormatPr defaultRowHeight="14.4" x14ac:dyDescent="0.3"/>
  <cols>
    <col min="1" max="1" width="8.6640625" bestFit="1" customWidth="1"/>
    <col min="2" max="2" width="16.44140625" bestFit="1" customWidth="1"/>
    <col min="3" max="3" width="11" customWidth="1"/>
    <col min="4" max="4" width="15.88671875" bestFit="1" customWidth="1"/>
    <col min="5" max="5" width="12.77734375" customWidth="1"/>
    <col min="6" max="6" width="19.21875" customWidth="1"/>
  </cols>
  <sheetData>
    <row r="1" spans="1:6" x14ac:dyDescent="0.3">
      <c r="A1" t="s">
        <v>3985</v>
      </c>
      <c r="B1" t="s">
        <v>3</v>
      </c>
      <c r="C1" t="s">
        <v>3986</v>
      </c>
      <c r="D1" t="s">
        <v>3987</v>
      </c>
      <c r="E1" t="s">
        <v>6</v>
      </c>
      <c r="F1" t="s">
        <v>7</v>
      </c>
    </row>
    <row r="2" spans="1:6" x14ac:dyDescent="0.3">
      <c r="A2" t="s">
        <v>3988</v>
      </c>
      <c r="B2" t="s">
        <v>196</v>
      </c>
      <c r="C2" t="s">
        <v>4001</v>
      </c>
      <c r="D2" t="s">
        <v>4002</v>
      </c>
      <c r="E2" t="s">
        <v>2232</v>
      </c>
      <c r="F2" t="s">
        <v>4025</v>
      </c>
    </row>
    <row r="3" spans="1:6" x14ac:dyDescent="0.3">
      <c r="A3" t="s">
        <v>4397</v>
      </c>
      <c r="B3" t="s">
        <v>208</v>
      </c>
      <c r="C3" t="s">
        <v>4001</v>
      </c>
      <c r="D3" t="s">
        <v>4003</v>
      </c>
      <c r="E3" t="s">
        <v>4005</v>
      </c>
      <c r="F3" t="s">
        <v>504</v>
      </c>
    </row>
    <row r="4" spans="1:6" x14ac:dyDescent="0.3">
      <c r="A4" t="s">
        <v>3989</v>
      </c>
      <c r="B4" t="s">
        <v>207</v>
      </c>
      <c r="C4" t="s">
        <v>4000</v>
      </c>
      <c r="D4" t="s">
        <v>4002</v>
      </c>
      <c r="E4" t="s">
        <v>1980</v>
      </c>
      <c r="F4" t="s">
        <v>4024</v>
      </c>
    </row>
    <row r="5" spans="1:6" x14ac:dyDescent="0.3">
      <c r="A5" t="s">
        <v>3990</v>
      </c>
      <c r="B5" t="s">
        <v>204</v>
      </c>
      <c r="C5" t="s">
        <v>4001</v>
      </c>
      <c r="D5" t="s">
        <v>4002</v>
      </c>
      <c r="E5" t="s">
        <v>3952</v>
      </c>
      <c r="F5" t="s">
        <v>562</v>
      </c>
    </row>
    <row r="6" spans="1:6" x14ac:dyDescent="0.3">
      <c r="A6" t="s">
        <v>4398</v>
      </c>
      <c r="B6" t="s">
        <v>234</v>
      </c>
      <c r="C6" t="s">
        <v>3998</v>
      </c>
      <c r="D6" t="s">
        <v>4003</v>
      </c>
      <c r="E6" t="s">
        <v>4006</v>
      </c>
      <c r="F6" t="s">
        <v>4026</v>
      </c>
    </row>
    <row r="7" spans="1:6" x14ac:dyDescent="0.3">
      <c r="A7" t="s">
        <v>4399</v>
      </c>
      <c r="B7" t="s">
        <v>193</v>
      </c>
      <c r="C7" t="s">
        <v>3998</v>
      </c>
      <c r="D7" t="s">
        <v>4004</v>
      </c>
      <c r="E7" t="s">
        <v>2167</v>
      </c>
      <c r="F7" t="s">
        <v>604</v>
      </c>
    </row>
    <row r="8" spans="1:6" x14ac:dyDescent="0.3">
      <c r="A8" t="s">
        <v>4400</v>
      </c>
      <c r="B8" t="s">
        <v>237</v>
      </c>
      <c r="C8" t="s">
        <v>3999</v>
      </c>
      <c r="D8" t="s">
        <v>4002</v>
      </c>
      <c r="E8" t="s">
        <v>3960</v>
      </c>
      <c r="F8" t="s">
        <v>372</v>
      </c>
    </row>
    <row r="9" spans="1:6" x14ac:dyDescent="0.3">
      <c r="A9" t="s">
        <v>4401</v>
      </c>
      <c r="B9" t="s">
        <v>247</v>
      </c>
      <c r="C9" t="s">
        <v>3998</v>
      </c>
      <c r="D9" t="s">
        <v>4002</v>
      </c>
      <c r="E9" t="s">
        <v>4010</v>
      </c>
      <c r="F9" t="s">
        <v>2336</v>
      </c>
    </row>
    <row r="10" spans="1:6" x14ac:dyDescent="0.3">
      <c r="A10" t="s">
        <v>4402</v>
      </c>
      <c r="B10" t="s">
        <v>213</v>
      </c>
      <c r="C10" t="s">
        <v>3998</v>
      </c>
      <c r="D10" t="s">
        <v>4002</v>
      </c>
      <c r="E10" t="s">
        <v>2140</v>
      </c>
      <c r="F10" t="s">
        <v>484</v>
      </c>
    </row>
    <row r="11" spans="1:6" x14ac:dyDescent="0.3">
      <c r="A11" t="s">
        <v>4403</v>
      </c>
      <c r="B11" t="s">
        <v>194</v>
      </c>
      <c r="C11" t="s">
        <v>4001</v>
      </c>
      <c r="D11" t="s">
        <v>4002</v>
      </c>
      <c r="E11" t="s">
        <v>4011</v>
      </c>
      <c r="F11" t="s">
        <v>1946</v>
      </c>
    </row>
    <row r="12" spans="1:6" x14ac:dyDescent="0.3">
      <c r="A12" t="s">
        <v>3991</v>
      </c>
      <c r="B12" t="s">
        <v>224</v>
      </c>
      <c r="C12" t="s">
        <v>4000</v>
      </c>
      <c r="D12" t="s">
        <v>4004</v>
      </c>
      <c r="E12" t="s">
        <v>3973</v>
      </c>
      <c r="F12" t="s">
        <v>632</v>
      </c>
    </row>
    <row r="13" spans="1:6" x14ac:dyDescent="0.3">
      <c r="A13" t="s">
        <v>3992</v>
      </c>
      <c r="B13" t="s">
        <v>219</v>
      </c>
      <c r="C13" t="s">
        <v>4000</v>
      </c>
      <c r="D13" t="s">
        <v>4002</v>
      </c>
      <c r="E13" t="s">
        <v>440</v>
      </c>
      <c r="F13" t="s">
        <v>3980</v>
      </c>
    </row>
    <row r="14" spans="1:6" x14ac:dyDescent="0.3">
      <c r="A14" t="s">
        <v>4404</v>
      </c>
      <c r="B14" t="s">
        <v>217</v>
      </c>
      <c r="C14" t="s">
        <v>4000</v>
      </c>
      <c r="D14" t="s">
        <v>4004</v>
      </c>
      <c r="E14" t="s">
        <v>2067</v>
      </c>
      <c r="F14" t="s">
        <v>4030</v>
      </c>
    </row>
    <row r="15" spans="1:6" x14ac:dyDescent="0.3">
      <c r="A15" t="s">
        <v>3993</v>
      </c>
      <c r="B15" t="s">
        <v>203</v>
      </c>
      <c r="C15" t="s">
        <v>3998</v>
      </c>
      <c r="D15" t="s">
        <v>4004</v>
      </c>
      <c r="E15" t="s">
        <v>4014</v>
      </c>
      <c r="F15" t="s">
        <v>563</v>
      </c>
    </row>
    <row r="16" spans="1:6" x14ac:dyDescent="0.3">
      <c r="A16" t="s">
        <v>4405</v>
      </c>
      <c r="B16" t="s">
        <v>215</v>
      </c>
      <c r="C16" t="s">
        <v>4000</v>
      </c>
      <c r="D16" t="s">
        <v>4003</v>
      </c>
      <c r="E16" t="s">
        <v>1988</v>
      </c>
      <c r="F16" t="s">
        <v>1858</v>
      </c>
    </row>
    <row r="17" spans="1:6" x14ac:dyDescent="0.3">
      <c r="A17" t="s">
        <v>3994</v>
      </c>
      <c r="B17" t="s">
        <v>236</v>
      </c>
      <c r="C17" t="s">
        <v>4000</v>
      </c>
      <c r="D17" t="s">
        <v>4002</v>
      </c>
      <c r="E17" t="s">
        <v>278</v>
      </c>
      <c r="F17" t="s">
        <v>425</v>
      </c>
    </row>
    <row r="18" spans="1:6" x14ac:dyDescent="0.3">
      <c r="A18" t="s">
        <v>3995</v>
      </c>
      <c r="B18" t="s">
        <v>243</v>
      </c>
      <c r="C18" t="s">
        <v>3999</v>
      </c>
      <c r="D18" t="s">
        <v>4004</v>
      </c>
      <c r="E18" t="s">
        <v>4016</v>
      </c>
      <c r="F18" t="s">
        <v>4035</v>
      </c>
    </row>
    <row r="19" spans="1:6" x14ac:dyDescent="0.3">
      <c r="A19" t="s">
        <v>3996</v>
      </c>
      <c r="B19" t="s">
        <v>197</v>
      </c>
      <c r="C19" t="s">
        <v>4000</v>
      </c>
      <c r="D19" t="s">
        <v>4003</v>
      </c>
      <c r="E19" t="s">
        <v>2152</v>
      </c>
      <c r="F19" t="s">
        <v>2223</v>
      </c>
    </row>
    <row r="20" spans="1:6" x14ac:dyDescent="0.3">
      <c r="A20" t="s">
        <v>3997</v>
      </c>
      <c r="B20" t="s">
        <v>244</v>
      </c>
      <c r="C20" t="s">
        <v>3999</v>
      </c>
      <c r="D20" t="s">
        <v>4004</v>
      </c>
      <c r="E20" t="s">
        <v>438</v>
      </c>
      <c r="F20" t="s">
        <v>4036</v>
      </c>
    </row>
    <row r="21" spans="1:6" x14ac:dyDescent="0.3">
      <c r="A21" t="s">
        <v>4406</v>
      </c>
      <c r="B21" t="s">
        <v>206</v>
      </c>
      <c r="C21" t="s">
        <v>4001</v>
      </c>
      <c r="D21" t="s">
        <v>4002</v>
      </c>
      <c r="E21" t="s">
        <v>307</v>
      </c>
      <c r="F21" t="s">
        <v>4037</v>
      </c>
    </row>
    <row r="22" spans="1:6" x14ac:dyDescent="0.3">
      <c r="A22" t="s">
        <v>4407</v>
      </c>
      <c r="B22" t="s">
        <v>245</v>
      </c>
      <c r="C22" t="s">
        <v>4000</v>
      </c>
      <c r="D22" t="s">
        <v>4002</v>
      </c>
      <c r="E22" t="s">
        <v>3970</v>
      </c>
      <c r="F22" t="s">
        <v>304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AB792-0323-4F59-BE8F-EF8651CCD1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 Register</vt:lpstr>
      <vt:lpstr>Corporate</vt:lpstr>
      <vt:lpstr>Individuals</vt:lpstr>
      <vt:lpstr>Sanctions</vt:lpstr>
      <vt:lpstr>PEP</vt:lpstr>
      <vt:lpstr>Adverse Media</vt:lpstr>
      <vt:lpstr>High Risk Jurisdiction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Uzoma</cp:lastModifiedBy>
  <dcterms:created xsi:type="dcterms:W3CDTF">2026-07-31T17:54:06Z</dcterms:created>
  <dcterms:modified xsi:type="dcterms:W3CDTF">2026-08-31T08:33:37Z</dcterms:modified>
</cp:coreProperties>
</file>